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isg\Downloads\Demand-Forecasting-Safety-Stock\04_reports_dashboard\"/>
    </mc:Choice>
  </mc:AlternateContent>
  <xr:revisionPtr revIDLastSave="0" documentId="13_ncr:1_{5AB6E74F-26F5-488A-9D29-6AB166E9EB0F}" xr6:coauthVersionLast="47" xr6:coauthVersionMax="47" xr10:uidLastSave="{00000000-0000-0000-0000-000000000000}"/>
  <bookViews>
    <workbookView xWindow="-108" yWindow="-108" windowWidth="23256" windowHeight="12456" activeTab="1" xr2:uid="{48CA15D7-9FDD-4860-8DB5-8AA26C952343}"/>
  </bookViews>
  <sheets>
    <sheet name="0.Diagramas" sheetId="1" r:id="rId1"/>
    <sheet name="1.Dashboard" sheetId="2" r:id="rId2"/>
    <sheet name="2.Cálculos Auxiliares" sheetId="3" r:id="rId3"/>
    <sheet name="3. Dados" sheetId="4" r:id="rId4"/>
  </sheets>
  <definedNames>
    <definedName name="SegmentaçãodeDados_class_abc">#N/A</definedName>
    <definedName name="SegmentaçãodeDados_matriz_abc_xyz">#N/A</definedName>
  </definedNames>
  <calcPr calcId="191029"/>
  <pivotCaches>
    <pivotCache cacheId="546" r:id="rId5"/>
    <pivotCache cacheId="549" r:id="rId6"/>
    <pivotCache cacheId="552" r:id="rId7"/>
  </pivotCaches>
  <extLst>
    <ext xmlns:x14="http://schemas.microsoft.com/office/spreadsheetml/2009/9/main" uri="{876F7934-8845-4945-9796-88D515C7AA90}">
      <x14:pivotCaches>
        <pivotCache cacheId="246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bc_xyz_classification_8e846963-35cb-4f05-98b5-9e618d96a099" name="abc_xyz_classification" connection="Consulta - abc_xyz_classification"/>
          <x15:modelTable id="dim_products_inventory_940000b2-51cd-479b-94d1-209c0970e985" name="dim_products_inventory" connection="Consulta - dim_products_inventory"/>
          <x15:modelTable id="fact_weekly_demand_forecast_6220b434-0f47-4b48-81d9-15f7f17c2957" name="fact_weekly_demand_forecast" connection="Consulta - fact_weekly_demand_forecast"/>
        </x15:modelTables>
        <x15:modelRelationships>
          <x15:modelRelationship fromTable="dim_products_inventory" fromColumn="item_id" toTable="abc_xyz_classification" toColumn="item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weekly_demand_forecast" columnName="date" columnId="date">
                <x16:calculatedTimeColumn columnName="date (Índice de Mês)" columnId="date (Índice de Mês)" contentType="monthsindex" isSelected="1"/>
                <x16:calculatedTimeColumn columnName="date (Mês)" columnId="date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2" l="1"/>
  <c r="H6" i="2"/>
  <c r="B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DFB85-E293-4664-83BC-AC2768680A22}" name="Consulta - abc_xyz_classification" description="Conexão com a consulta 'abc_xyz_classification' na pasta de trabalho." type="100" refreshedVersion="8" minRefreshableVersion="5">
    <extLst>
      <ext xmlns:x15="http://schemas.microsoft.com/office/spreadsheetml/2010/11/main" uri="{DE250136-89BD-433C-8126-D09CA5730AF9}">
        <x15:connection id="6f7b53c2-fae1-4d9a-bf87-8d83f0bfd034"/>
      </ext>
    </extLst>
  </connection>
  <connection id="2" xr16:uid="{87A103EA-02ED-4EDD-B44F-0EC28850CEFC}" name="Consulta - dim_products_inventory" description="Conexão com a consulta 'dim_products_inventory' na pasta de trabalho." type="100" refreshedVersion="8" minRefreshableVersion="5">
    <extLst>
      <ext xmlns:x15="http://schemas.microsoft.com/office/spreadsheetml/2010/11/main" uri="{DE250136-89BD-433C-8126-D09CA5730AF9}">
        <x15:connection id="6fab634d-ae61-4246-a711-bc0e4171ddce">
          <x15:oledbPr connection="Provider=Microsoft.Mashup.OleDb.1;Data Source=$Workbook$;Location=dim_products_inventory;Extended Properties=&quot;&quot;">
            <x15:dbTables>
              <x15:dbTable name="dim_products_inventory"/>
            </x15:dbTables>
          </x15:oledbPr>
        </x15:connection>
      </ext>
    </extLst>
  </connection>
  <connection id="3" xr16:uid="{929ACA4E-9D74-4F97-91DF-7F4DF0CBB182}" name="Consulta - fact_weekly_demand_forecast" description="Conexão com a consulta 'fact_weekly_demand_forecast' na pasta de trabalho." type="100" refreshedVersion="8" minRefreshableVersion="5">
    <extLst>
      <ext xmlns:x15="http://schemas.microsoft.com/office/spreadsheetml/2010/11/main" uri="{DE250136-89BD-433C-8126-D09CA5730AF9}">
        <x15:connection id="33609baf-0aaf-4e9a-ab9f-ffdc2edfcffa"/>
      </ext>
    </extLst>
  </connection>
  <connection id="4" xr16:uid="{06AC8D5D-C251-4C95-AAC6-E3F2F8F5AC8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<sst xmlns="http://schemas.openxmlformats.org/spreadsheetml/2006/main" count="74" uniqueCount="70">
  <si>
    <t>Rótulos de Linha</t>
  </si>
  <si>
    <t>Total Geral</t>
  </si>
  <si>
    <t>A</t>
  </si>
  <si>
    <t>B</t>
  </si>
  <si>
    <t>C</t>
  </si>
  <si>
    <t>Média de safety_stock</t>
  </si>
  <si>
    <t>Soma de total_revenue</t>
  </si>
  <si>
    <t>AY</t>
  </si>
  <si>
    <t>BY</t>
  </si>
  <si>
    <t>CY</t>
  </si>
  <si>
    <t>Contagem de item_id</t>
  </si>
  <si>
    <t>Média de reorder_point</t>
  </si>
  <si>
    <t>Média de lead_time_days</t>
  </si>
  <si>
    <t>Soma de predicted_weekly_sales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</si>
  <si>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</si>
  <si>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</si>
  <si>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</si>
  <si>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</si>
  <si>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</si>
  <si>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</si>
  <si>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</si>
  <si>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</si>
  <si>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</si>
  <si>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</si>
  <si>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</si>
  <si>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</si>
  <si>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</si>
  <si>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</si>
  <si>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</si>
  <si>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</si>
  <si>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</si>
  <si>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</si>
  <si>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</si>
  <si>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</si>
  <si>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</si>
  <si>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</si>
  <si>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</si>
  <si>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</si>
  <si>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</si>
  <si>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</si>
  <si>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</si>
  <si>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</si>
  <si>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</si>
  <si>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</si>
  <si>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</si>
  <si>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</si>
  <si>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</si>
  <si>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</si>
  <si>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</si>
  <si>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</si>
  <si>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</si>
  <si>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</si>
  <si>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</si>
  <si>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</si>
  <si>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</si>
  <si>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</si>
  <si>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</si>
  <si>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</si>
  <si>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</si>
  <si>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</si>
  <si>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</si>
  <si>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</si>
  <si>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</si>
  <si>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</si>
  <si>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</si>
  <si>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</si>
  <si>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Receita Total (2019-2023)</t>
  </si>
  <si>
    <t>SKUs Gerenciados</t>
  </si>
  <si>
    <t>Estoque de Segurança Médio</t>
  </si>
  <si>
    <t>Acurácia Preditiva (Holt-Winters)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</si>
</sst>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&quot;R$&quot;\ #,##0"/>
    <numFmt numFmtId="167" formatCode="_-&quot;R$&quot;\ * #,##0_-;\-&quot;R$&quot;\ * #,##0_-;_-&quot;R$&quot;\ * &quot;-&quot;??_-;_-@_-"/>
    <numFmt numFmtId="176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indexed="64"/>
      </right>
      <top style="thin">
        <color theme="2" tint="-0.249977111117893"/>
      </top>
      <bottom/>
      <diagonal/>
    </border>
    <border>
      <left style="thin">
        <color indexed="64"/>
      </left>
      <right/>
      <top style="thin">
        <color theme="2" tint="-0.249977111117893"/>
      </top>
      <bottom/>
      <diagonal/>
    </border>
    <border>
      <left/>
      <right style="thin">
        <color indexed="64"/>
      </right>
      <top/>
      <bottom style="thin">
        <color theme="2" tint="-0.249977111117893"/>
      </bottom>
      <diagonal/>
    </border>
    <border>
      <left style="thin">
        <color indexed="64"/>
      </left>
      <right/>
      <top/>
      <bottom style="thin">
        <color theme="2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43" fontId="0" fillId="0" borderId="0" xfId="1" applyFont="1"/>
    <xf numFmtId="1" fontId="0" fillId="0" borderId="0" xfId="0" applyNumberFormat="1"/>
    <xf numFmtId="176" fontId="0" fillId="0" borderId="0" xfId="0" applyNumberFormat="1"/>
    <xf numFmtId="0" fontId="0" fillId="0" borderId="0" xfId="0" applyAlignment="1"/>
    <xf numFmtId="167" fontId="0" fillId="2" borderId="0" xfId="2" applyNumberFormat="1" applyFont="1" applyFill="1" applyBorder="1" applyAlignment="1">
      <alignment horizontal="left" vertical="center"/>
    </xf>
    <xf numFmtId="167" fontId="0" fillId="2" borderId="2" xfId="2" applyNumberFormat="1" applyFont="1" applyFill="1" applyBorder="1" applyAlignment="1">
      <alignment horizontal="left" vertical="center"/>
    </xf>
    <xf numFmtId="1" fontId="0" fillId="2" borderId="1" xfId="2" applyNumberFormat="1" applyFont="1" applyFill="1" applyBorder="1" applyAlignment="1">
      <alignment horizontal="center" vertical="center"/>
    </xf>
    <xf numFmtId="1" fontId="0" fillId="2" borderId="0" xfId="2" applyNumberFormat="1" applyFont="1" applyFill="1" applyBorder="1" applyAlignment="1">
      <alignment horizontal="center" vertical="center"/>
    </xf>
    <xf numFmtId="1" fontId="0" fillId="2" borderId="2" xfId="2" applyNumberFormat="1" applyFont="1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10" fontId="0" fillId="2" borderId="0" xfId="2" applyNumberFormat="1" applyFont="1" applyFill="1" applyBorder="1" applyAlignment="1">
      <alignment horizontal="center" vertical="center"/>
    </xf>
    <xf numFmtId="10" fontId="0" fillId="2" borderId="2" xfId="2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7" fontId="0" fillId="2" borderId="8" xfId="2" applyNumberFormat="1" applyFont="1" applyFill="1" applyBorder="1" applyAlignment="1">
      <alignment horizontal="left" vertical="center"/>
    </xf>
    <xf numFmtId="1" fontId="0" fillId="2" borderId="4" xfId="2" applyNumberFormat="1" applyFont="1" applyFill="1" applyBorder="1" applyAlignment="1">
      <alignment horizontal="center" vertical="center"/>
    </xf>
    <xf numFmtId="167" fontId="0" fillId="2" borderId="9" xfId="2" applyNumberFormat="1" applyFont="1" applyFill="1" applyBorder="1" applyAlignment="1">
      <alignment horizontal="left" vertical="center"/>
    </xf>
    <xf numFmtId="167" fontId="0" fillId="2" borderId="3" xfId="2" applyNumberFormat="1" applyFont="1" applyFill="1" applyBorder="1" applyAlignment="1">
      <alignment horizontal="left" vertical="center"/>
    </xf>
    <xf numFmtId="167" fontId="0" fillId="2" borderId="13" xfId="2" applyNumberFormat="1" applyFont="1" applyFill="1" applyBorder="1" applyAlignment="1">
      <alignment horizontal="left" vertical="center"/>
    </xf>
    <xf numFmtId="10" fontId="0" fillId="2" borderId="14" xfId="2" applyNumberFormat="1" applyFont="1" applyFill="1" applyBorder="1" applyAlignment="1">
      <alignment horizontal="center" vertical="center"/>
    </xf>
    <xf numFmtId="10" fontId="0" fillId="2" borderId="3" xfId="2" applyNumberFormat="1" applyFont="1" applyFill="1" applyBorder="1" applyAlignment="1">
      <alignment horizontal="center" vertical="center"/>
    </xf>
    <xf numFmtId="10" fontId="0" fillId="2" borderId="13" xfId="2" applyNumberFormat="1" applyFont="1" applyFill="1" applyBorder="1" applyAlignment="1">
      <alignment horizontal="center" vertical="center"/>
    </xf>
    <xf numFmtId="1" fontId="0" fillId="2" borderId="14" xfId="2" applyNumberFormat="1" applyFont="1" applyFill="1" applyBorder="1" applyAlignment="1">
      <alignment horizontal="center" vertical="center"/>
    </xf>
    <xf numFmtId="1" fontId="0" fillId="2" borderId="3" xfId="2" applyNumberFormat="1" applyFont="1" applyFill="1" applyBorder="1" applyAlignment="1">
      <alignment horizontal="center" vertical="center"/>
    </xf>
    <xf numFmtId="1" fontId="0" fillId="2" borderId="13" xfId="2" applyNumberFormat="1" applyFont="1" applyFill="1" applyBorder="1" applyAlignment="1">
      <alignment horizontal="center" vertical="center"/>
    </xf>
    <xf numFmtId="1" fontId="0" fillId="2" borderId="10" xfId="2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 applyAlignment="1"/>
    <xf numFmtId="0" fontId="2" fillId="3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108"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6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2F2F2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[dashboard_supply_chain.xlsx]2.Cálculos Auxiliares!Tabela dinâmica2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Distribuição de Receita por Categoria ABC/XYZ</a:t>
            </a:r>
            <a:endParaRPr lang="pt-BR" sz="1400"/>
          </a:p>
        </c:rich>
      </c:tx>
      <c:layout>
        <c:manualLayout>
          <c:xMode val="edge"/>
          <c:yMode val="edge"/>
          <c:x val="9.2751327173957523E-2"/>
          <c:y val="3.753076058426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7665271131638112E-3"/>
              <c:y val="-4.766086466200164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-4.76608646620025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-1.47508342500069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'2.Cálculos Auxiliares'!$E$5</c:f>
              <c:strCache>
                <c:ptCount val="1"/>
                <c:pt idx="0">
                  <c:v>Soma de total_revenue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2.7665271131638112E-3"/>
                  <c:y val="-4.766086466200164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4.76608646620025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"/>
                  <c:y val="-1.475083425000693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'2.Cálculos Auxiliares'!$D$6:$D$9</c:f>
              <c:strCache>
                <c:ptCount val="3"/>
                <c:pt idx="0">
                  <c:v>AY</c:v>
                </c:pt>
                <c:pt idx="1">
                  <c:v>BY</c:v>
                </c:pt>
                <c:pt idx="2">
                  <c:v>CY</c:v>
                </c:pt>
              </c:strCache>
            </c:strRef>
          </c:cat>
          <c:val>
            <c:numRef>
              <c:f>'2.Cálculos Auxiliares'!$E$6:$E$9</c:f>
              <c:numCache>
                <c:formatCode>"R$"\ #,##0</c:formatCode>
                <c:ptCount val="3"/>
                <c:pt idx="0">
                  <c:v>5684053622.8599997</c:v>
                </c:pt>
                <c:pt idx="1">
                  <c:v>1023293366.9499999</c:v>
                </c:pt>
                <c:pt idx="2">
                  <c:v>400360537.95000005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D49-4739-81D4-82EFBD90D61C}"/>
            </c:ext>
          </c:extLst>
        </c:ser>
        <c:ser>
          <c:idx val="1"/>
          <c:order val="1"/>
          <c:tx>
            <c:strRef>
              <c:f>'2.Cálculos Auxiliares'!$F$5</c:f>
              <c:strCache>
                <c:ptCount val="1"/>
                <c:pt idx="0">
                  <c:v>Contagem de item_id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'2.Cálculos Auxiliares'!$D$6:$D$9</c:f>
              <c:strCache>
                <c:ptCount val="3"/>
                <c:pt idx="0">
                  <c:v>AY</c:v>
                </c:pt>
                <c:pt idx="1">
                  <c:v>BY</c:v>
                </c:pt>
                <c:pt idx="2">
                  <c:v>CY</c:v>
                </c:pt>
              </c:strCache>
            </c:strRef>
          </c:cat>
          <c:val>
            <c:numRef>
              <c:f>'2.Cálculos Auxiliares'!$F$6:$F$9</c:f>
              <c:numCache>
                <c:formatCode>General</c:formatCode>
                <c:ptCount val="3"/>
                <c:pt idx="0">
                  <c:v>33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D49-4739-81D4-82EFBD90D6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2817280"/>
        <c:axId val="916997872"/>
      </c:barChart>
      <c:catAx>
        <c:axId val="772817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</a:rPr>
                  <a:t>matriz_abc_xyz</a:t>
                </a:r>
              </a:p>
            </c:rich>
          </c:tx>
          <c:layout>
            <c:manualLayout>
              <c:xMode val="edge"/>
              <c:yMode val="edge"/>
              <c:x val="0.49894316485909335"/>
              <c:y val="0.87301245135467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997872"/>
        <c:crosses val="autoZero"/>
        <c:auto val="1"/>
        <c:lblAlgn val="ctr"/>
        <c:lblOffset val="100"/>
        <c:noMultiLvlLbl val="0"/>
      </c:catAx>
      <c:valAx>
        <c:axId val="916997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Soma</a:t>
                </a:r>
                <a:r>
                  <a:rPr lang="pt-BR" baseline="0"/>
                  <a:t> de total Revenue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281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[dashboard_supply_chain.xlsx]2.Cálculos Auxiliares!Tabela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Tendência Semanal de Vendas Projetadas (2024)</a:t>
            </a:r>
            <a:endParaRPr lang="en-US" sz="1400"/>
          </a:p>
        </c:rich>
      </c:tx>
      <c:layout>
        <c:manualLayout>
          <c:xMode val="edge"/>
          <c:yMode val="edge"/>
          <c:x val="0.14552852830486271"/>
          <c:y val="5.4950006234721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 cmpd="sng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'2.Cálculos Auxiliares'!$J$5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'2.Cálculos Auxiliares'!$I$6:$I$58</c:f>
              <c:strCache>
                <c:ptCount val="52"/>
                <c:pt idx="0">
                  <c:v>2024-01-07</c:v>
                </c:pt>
                <c:pt idx="1">
                  <c:v>2024-01-14</c:v>
                </c:pt>
                <c:pt idx="2">
                  <c:v>2024-01-21</c:v>
                </c:pt>
                <c:pt idx="3">
                  <c:v>2024-01-28</c:v>
                </c:pt>
                <c:pt idx="4">
                  <c:v>2024-02-04</c:v>
                </c:pt>
                <c:pt idx="5">
                  <c:v>2024-02-11</c:v>
                </c:pt>
                <c:pt idx="6">
                  <c:v>2024-02-18</c:v>
                </c:pt>
                <c:pt idx="7">
                  <c:v>2024-02-25</c:v>
                </c:pt>
                <c:pt idx="8">
                  <c:v>2024-03-03</c:v>
                </c:pt>
                <c:pt idx="9">
                  <c:v>2024-03-10</c:v>
                </c:pt>
                <c:pt idx="10">
                  <c:v>2024-03-17</c:v>
                </c:pt>
                <c:pt idx="11">
                  <c:v>2024-03-24</c:v>
                </c:pt>
                <c:pt idx="12">
                  <c:v>2024-03-31</c:v>
                </c:pt>
                <c:pt idx="13">
                  <c:v>2024-04-07</c:v>
                </c:pt>
                <c:pt idx="14">
                  <c:v>2024-04-14</c:v>
                </c:pt>
                <c:pt idx="15">
                  <c:v>2024-04-21</c:v>
                </c:pt>
                <c:pt idx="16">
                  <c:v>2024-04-28</c:v>
                </c:pt>
                <c:pt idx="17">
                  <c:v>2024-05-05</c:v>
                </c:pt>
                <c:pt idx="18">
                  <c:v>2024-05-12</c:v>
                </c:pt>
                <c:pt idx="19">
                  <c:v>2024-05-19</c:v>
                </c:pt>
                <c:pt idx="20">
                  <c:v>2024-05-26</c:v>
                </c:pt>
                <c:pt idx="21">
                  <c:v>2024-06-02</c:v>
                </c:pt>
                <c:pt idx="22">
                  <c:v>2024-06-09</c:v>
                </c:pt>
                <c:pt idx="23">
                  <c:v>2024-06-16</c:v>
                </c:pt>
                <c:pt idx="24">
                  <c:v>2024-06-23</c:v>
                </c:pt>
                <c:pt idx="25">
                  <c:v>2024-06-30</c:v>
                </c:pt>
                <c:pt idx="26">
                  <c:v>2024-07-07</c:v>
                </c:pt>
                <c:pt idx="27">
                  <c:v>2024-07-14</c:v>
                </c:pt>
                <c:pt idx="28">
                  <c:v>2024-07-21</c:v>
                </c:pt>
                <c:pt idx="29">
                  <c:v>2024-07-28</c:v>
                </c:pt>
                <c:pt idx="30">
                  <c:v>2024-08-04</c:v>
                </c:pt>
                <c:pt idx="31">
                  <c:v>2024-08-11</c:v>
                </c:pt>
                <c:pt idx="32">
                  <c:v>2024-08-18</c:v>
                </c:pt>
                <c:pt idx="33">
                  <c:v>2024-08-25</c:v>
                </c:pt>
                <c:pt idx="34">
                  <c:v>2024-09-01</c:v>
                </c:pt>
                <c:pt idx="35">
                  <c:v>2024-09-08</c:v>
                </c:pt>
                <c:pt idx="36">
                  <c:v>2024-09-15</c:v>
                </c:pt>
                <c:pt idx="37">
                  <c:v>2024-09-22</c:v>
                </c:pt>
                <c:pt idx="38">
                  <c:v>2024-09-29</c:v>
                </c:pt>
                <c:pt idx="39">
                  <c:v>2024-10-06</c:v>
                </c:pt>
                <c:pt idx="40">
                  <c:v>2024-10-13</c:v>
                </c:pt>
                <c:pt idx="41">
                  <c:v>2024-10-20</c:v>
                </c:pt>
                <c:pt idx="42">
                  <c:v>2024-10-27</c:v>
                </c:pt>
                <c:pt idx="43">
                  <c:v>2024-11-03</c:v>
                </c:pt>
                <c:pt idx="44">
                  <c:v>2024-11-10</c:v>
                </c:pt>
                <c:pt idx="45">
                  <c:v>2024-11-17</c:v>
                </c:pt>
                <c:pt idx="46">
                  <c:v>2024-11-24</c:v>
                </c:pt>
                <c:pt idx="47">
                  <c:v>2024-12-01</c:v>
                </c:pt>
                <c:pt idx="48">
                  <c:v>2024-12-08</c:v>
                </c:pt>
                <c:pt idx="49">
                  <c:v>2024-12-15</c:v>
                </c:pt>
                <c:pt idx="50">
                  <c:v>2024-12-22</c:v>
                </c:pt>
                <c:pt idx="51">
                  <c:v>2024-12-29</c:v>
                </c:pt>
              </c:strCache>
            </c:strRef>
          </c:cat>
          <c:val>
            <c:numRef>
              <c:f>'2.Cálculos Auxiliares'!$J$6:$J$58</c:f>
              <c:numCache>
                <c:formatCode>_-* #,##0_-;\-* #,##0_-;_-* "-"??_-;_-@_-</c:formatCode>
                <c:ptCount val="52"/>
                <c:pt idx="0">
                  <c:v>599521</c:v>
                </c:pt>
                <c:pt idx="1">
                  <c:v>622736</c:v>
                </c:pt>
                <c:pt idx="2">
                  <c:v>643459</c:v>
                </c:pt>
                <c:pt idx="3">
                  <c:v>664620</c:v>
                </c:pt>
                <c:pt idx="4">
                  <c:v>684224</c:v>
                </c:pt>
                <c:pt idx="5">
                  <c:v>702520</c:v>
                </c:pt>
                <c:pt idx="6">
                  <c:v>721680</c:v>
                </c:pt>
                <c:pt idx="7">
                  <c:v>737301</c:v>
                </c:pt>
                <c:pt idx="8">
                  <c:v>751677</c:v>
                </c:pt>
                <c:pt idx="9">
                  <c:v>763353</c:v>
                </c:pt>
                <c:pt idx="10">
                  <c:v>773514</c:v>
                </c:pt>
                <c:pt idx="11">
                  <c:v>782032</c:v>
                </c:pt>
                <c:pt idx="12">
                  <c:v>787747</c:v>
                </c:pt>
                <c:pt idx="13">
                  <c:v>791350</c:v>
                </c:pt>
                <c:pt idx="14">
                  <c:v>792434</c:v>
                </c:pt>
                <c:pt idx="15">
                  <c:v>791965</c:v>
                </c:pt>
                <c:pt idx="16">
                  <c:v>788888</c:v>
                </c:pt>
                <c:pt idx="17">
                  <c:v>784281</c:v>
                </c:pt>
                <c:pt idx="18">
                  <c:v>777648</c:v>
                </c:pt>
                <c:pt idx="19">
                  <c:v>767472</c:v>
                </c:pt>
                <c:pt idx="20">
                  <c:v>758590</c:v>
                </c:pt>
                <c:pt idx="21">
                  <c:v>746291</c:v>
                </c:pt>
                <c:pt idx="22">
                  <c:v>733320</c:v>
                </c:pt>
                <c:pt idx="23">
                  <c:v>719814</c:v>
                </c:pt>
                <c:pt idx="24">
                  <c:v>705504</c:v>
                </c:pt>
                <c:pt idx="25">
                  <c:v>692394</c:v>
                </c:pt>
                <c:pt idx="26">
                  <c:v>677954</c:v>
                </c:pt>
                <c:pt idx="27">
                  <c:v>663908</c:v>
                </c:pt>
                <c:pt idx="28">
                  <c:v>650040</c:v>
                </c:pt>
                <c:pt idx="29">
                  <c:v>637365</c:v>
                </c:pt>
                <c:pt idx="30">
                  <c:v>624933</c:v>
                </c:pt>
                <c:pt idx="31">
                  <c:v>614677</c:v>
                </c:pt>
                <c:pt idx="32">
                  <c:v>605675</c:v>
                </c:pt>
                <c:pt idx="33">
                  <c:v>598114</c:v>
                </c:pt>
                <c:pt idx="34">
                  <c:v>592437</c:v>
                </c:pt>
                <c:pt idx="35">
                  <c:v>589039</c:v>
                </c:pt>
                <c:pt idx="36">
                  <c:v>587319</c:v>
                </c:pt>
                <c:pt idx="37">
                  <c:v>588689</c:v>
                </c:pt>
                <c:pt idx="38">
                  <c:v>591266</c:v>
                </c:pt>
                <c:pt idx="39">
                  <c:v>595826</c:v>
                </c:pt>
                <c:pt idx="40">
                  <c:v>603466</c:v>
                </c:pt>
                <c:pt idx="41">
                  <c:v>613435</c:v>
                </c:pt>
                <c:pt idx="42">
                  <c:v>624196</c:v>
                </c:pt>
                <c:pt idx="43">
                  <c:v>637954</c:v>
                </c:pt>
                <c:pt idx="44">
                  <c:v>652743</c:v>
                </c:pt>
                <c:pt idx="45">
                  <c:v>670076</c:v>
                </c:pt>
                <c:pt idx="46">
                  <c:v>687669</c:v>
                </c:pt>
                <c:pt idx="47">
                  <c:v>707427</c:v>
                </c:pt>
                <c:pt idx="48">
                  <c:v>728103</c:v>
                </c:pt>
                <c:pt idx="49">
                  <c:v>749507</c:v>
                </c:pt>
                <c:pt idx="50">
                  <c:v>771903</c:v>
                </c:pt>
                <c:pt idx="51">
                  <c:v>784430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4B-47B4-B6ED-FCD9384E73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44735"/>
        <c:axId val="843264032"/>
      </c:lineChart>
      <c:catAx>
        <c:axId val="11724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3264032"/>
        <c:crosses val="autoZero"/>
        <c:auto val="1"/>
        <c:lblAlgn val="ctr"/>
        <c:lblOffset val="100"/>
        <c:tickLblSkip val="4"/>
        <c:noMultiLvlLbl val="0"/>
      </c:catAx>
      <c:valAx>
        <c:axId val="843264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1" i="0" u="none" strike="noStrike" baseline="0"/>
                  <a:t>Soma de predicted_weekly sales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24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[dashboard_supply_chain.xlsx]2.Cálculos Auxiliares!Tabela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Níveis de Estoque de Segurança e ROP por Classe</a:t>
            </a:r>
            <a:endParaRPr lang="pt-BR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'2.Cálculos Auxiliares'!$E$12</c:f>
              <c:strCache>
                <c:ptCount val="1"/>
                <c:pt idx="0">
                  <c:v>Média de safety_stock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'2.Cálculos Auxiliares'!$D$13:$D$16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'2.Cálculos Auxiliares'!$E$13:$E$16</c:f>
              <c:numCache>
                <c:formatCode>0</c:formatCode>
                <c:ptCount val="3"/>
                <c:pt idx="0">
                  <c:v>52.363636363636367</c:v>
                </c:pt>
                <c:pt idx="1">
                  <c:v>27.90909090909091</c:v>
                </c:pt>
                <c:pt idx="2">
                  <c:v>21.666666666666668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5A-4AC0-AD03-9BA28A0B8824}"/>
            </c:ext>
          </c:extLst>
        </c:ser>
        <c:ser>
          <c:idx val="1"/>
          <c:order val="1"/>
          <c:tx>
            <c:strRef>
              <c:f>'2.Cálculos Auxiliares'!$F$12</c:f>
              <c:strCache>
                <c:ptCount val="1"/>
                <c:pt idx="0">
                  <c:v>Média de reorder_point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'2.Cálculos Auxiliares'!$D$13:$D$16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'2.Cálculos Auxiliares'!$F$13:$F$16</c:f>
              <c:numCache>
                <c:formatCode>General</c:formatCode>
                <c:ptCount val="3"/>
                <c:pt idx="0">
                  <c:v>301.969696969697</c:v>
                </c:pt>
                <c:pt idx="1">
                  <c:v>215</c:v>
                </c:pt>
                <c:pt idx="2">
                  <c:v>216.5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5A-4AC0-AD03-9BA28A0B8824}"/>
            </c:ext>
          </c:extLst>
        </c:ser>
        <c:ser>
          <c:idx val="2"/>
          <c:order val="2"/>
          <c:tx>
            <c:strRef>
              <c:f>'2.Cálculos Auxiliares'!$G$12</c:f>
              <c:strCache>
                <c:ptCount val="1"/>
                <c:pt idx="0">
                  <c:v>Média de lead_time_days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'2.Cálculos Auxiliares'!$D$13:$D$16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'2.Cálculos Auxiliares'!$G$13:$G$16</c:f>
              <c:numCache>
                <c:formatCode>General</c:formatCode>
                <c:ptCount val="3"/>
                <c:pt idx="0">
                  <c:v>7</c:v>
                </c:pt>
                <c:pt idx="1">
                  <c:v>10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5A-4AC0-AD03-9BA28A0B88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11029552"/>
        <c:axId val="1611016592"/>
      </c:barChart>
      <c:catAx>
        <c:axId val="1611029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1" i="0" u="none" strike="noStrike" baseline="0"/>
                  <a:t>class_abc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016592"/>
        <c:crosses val="autoZero"/>
        <c:auto val="1"/>
        <c:lblAlgn val="ctr"/>
        <c:lblOffset val="100"/>
        <c:noMultiLvlLbl val="0"/>
      </c:catAx>
      <c:valAx>
        <c:axId val="1611016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1" i="0" u="none" strike="noStrike" baseline="0"/>
                  <a:t>Média de safety stock e Média de reorderpoint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2.2222222222222223E-2"/>
              <c:y val="0.20351633129192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02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13</xdr:col>
      <xdr:colOff>0</xdr:colOff>
      <xdr:row>3</xdr:row>
      <xdr:rowOff>30480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F3E79C9-E526-3007-06A1-1172BAF4AAC0}"/>
            </a:ext>
          </a:extLst>
        </xdr:cNvPr>
        <xdr:cNvSpPr txBox="1"/>
      </xdr:nvSpPr>
      <xdr:spPr>
        <a:xfrm>
          <a:off x="7620" y="0"/>
          <a:ext cx="9898380" cy="579120"/>
        </a:xfrm>
        <a:prstGeom prst="rect">
          <a:avLst/>
        </a:prstGeom>
        <a:solidFill>
          <a:srgbClr val="1F4E7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 b="1">
              <a:solidFill>
                <a:schemeClr val="bg1"/>
              </a:solidFill>
            </a:rPr>
            <a:t>S&amp;OP &amp; SUPPLY CHAIN ANALYTICS DASHBOARD</a:t>
          </a:r>
        </a:p>
      </xdr:txBody>
    </xdr:sp>
    <xdr:clientData/>
  </xdr:twoCellAnchor>
  <xdr:twoCellAnchor>
    <xdr:from>
      <xdr:col>0</xdr:col>
      <xdr:colOff>0</xdr:colOff>
      <xdr:row>1</xdr:row>
      <xdr:rowOff>152400</xdr:rowOff>
    </xdr:from>
    <xdr:to>
      <xdr:col>13</xdr:col>
      <xdr:colOff>0</xdr:colOff>
      <xdr:row>3</xdr:row>
      <xdr:rowOff>30480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DCF5255-1A03-ABDC-11EB-C549117ADDD0}"/>
            </a:ext>
          </a:extLst>
        </xdr:cNvPr>
        <xdr:cNvSpPr txBox="1"/>
      </xdr:nvSpPr>
      <xdr:spPr>
        <a:xfrm>
          <a:off x="0" y="335280"/>
          <a:ext cx="9906000" cy="243840"/>
        </a:xfrm>
        <a:prstGeom prst="rect">
          <a:avLst/>
        </a:prstGeom>
        <a:solidFill>
          <a:srgbClr val="1F4E7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Planejamento de Demanda &amp; Parâmetros de Inventário (2019–2024)</a:t>
          </a:r>
          <a:endParaRPr lang="pt-BR">
            <a:solidFill>
              <a:schemeClr val="bg2">
                <a:lumMod val="75000"/>
              </a:schemeClr>
            </a:solidFill>
            <a:effectLst/>
          </a:endParaRPr>
        </a:p>
        <a:p>
          <a:endParaRPr lang="pt-BR" sz="1100"/>
        </a:p>
      </xdr:txBody>
    </xdr:sp>
    <xdr:clientData/>
  </xdr:twoCellAnchor>
  <xdr:twoCellAnchor>
    <xdr:from>
      <xdr:col>0</xdr:col>
      <xdr:colOff>607390</xdr:colOff>
      <xdr:row>8</xdr:row>
      <xdr:rowOff>66261</xdr:rowOff>
    </xdr:from>
    <xdr:to>
      <xdr:col>6</xdr:col>
      <xdr:colOff>309217</xdr:colOff>
      <xdr:row>23</xdr:row>
      <xdr:rowOff>66261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42C107C-6297-4590-A495-F99830D27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309218</xdr:colOff>
      <xdr:row>8</xdr:row>
      <xdr:rowOff>64264</xdr:rowOff>
    </xdr:from>
    <xdr:to>
      <xdr:col>13</xdr:col>
      <xdr:colOff>83</xdr:colOff>
      <xdr:row>23</xdr:row>
      <xdr:rowOff>97117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F54E398-717F-4990-9919-EDB38A9AF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5056</xdr:colOff>
      <xdr:row>23</xdr:row>
      <xdr:rowOff>79035</xdr:rowOff>
    </xdr:from>
    <xdr:to>
      <xdr:col>6</xdr:col>
      <xdr:colOff>331305</xdr:colOff>
      <xdr:row>38</xdr:row>
      <xdr:rowOff>68018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684BE2D-2933-4517-9639-A8044C5D0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320262</xdr:colOff>
      <xdr:row>23</xdr:row>
      <xdr:rowOff>97117</xdr:rowOff>
    </xdr:from>
    <xdr:to>
      <xdr:col>9</xdr:col>
      <xdr:colOff>99392</xdr:colOff>
      <xdr:row>38</xdr:row>
      <xdr:rowOff>88348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atriz_abc_xyz">
              <a:extLst>
                <a:ext uri="{FF2B5EF4-FFF2-40B4-BE49-F238E27FC236}">
                  <a16:creationId xmlns:a16="http://schemas.microsoft.com/office/drawing/2014/main" id="{B4AFEABD-60BB-7385-27B1-62746C7BB4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triz_abc_xyz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8342" y="4303357"/>
              <a:ext cx="2288650" cy="27344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121478</xdr:colOff>
      <xdr:row>23</xdr:row>
      <xdr:rowOff>97117</xdr:rowOff>
    </xdr:from>
    <xdr:to>
      <xdr:col>13</xdr:col>
      <xdr:colOff>62774</xdr:colOff>
      <xdr:row>38</xdr:row>
      <xdr:rowOff>88347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lass_abc">
              <a:extLst>
                <a:ext uri="{FF2B5EF4-FFF2-40B4-BE49-F238E27FC236}">
                  <a16:creationId xmlns:a16="http://schemas.microsoft.com/office/drawing/2014/main" id="{3488C9AE-0111-02B4-E9FE-DE59A2C2B4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s_abc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89078" y="4303357"/>
              <a:ext cx="2379696" cy="2734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gu Ávila da Silva" refreshedDate="46319.953960185187" backgroundQuery="1" createdVersion="8" refreshedVersion="8" minRefreshableVersion="3" recordCount="0" supportSubquery="1" supportAdvancedDrill="1" xr:uid="{98B660A4-51C9-4311-AAAF-189E3750EC15}">
  <cacheSource type="external" connectionId="4"/>
  <cacheFields count="3">
    <cacheField name="[abc_xyz_classification].[matriz_abc_xyz].[matriz_abc_xyz]" caption="matriz_abc_xyz" numFmtId="0" hierarchy="10" level="1">
      <sharedItems count="3">
        <s v="AY"/>
        <s v="BY"/>
        <s v="CY"/>
      </sharedItems>
    </cacheField>
    <cacheField name="[Measures].[Soma de total_revenue]" caption="Soma de total_revenue" numFmtId="0" hierarchy="36" level="32767"/>
    <cacheField name="[Measures].[Contagem de item_id]" caption="Contagem de item_id" numFmtId="0" hierarchy="37" level="32767"/>
  </cacheFields>
  <cacheHierarchies count="43">
    <cacheHierarchy uniqueName="[abc_xyz_classification].[item_id]" caption="item_id" attribute="1" defaultMemberUniqueName="[abc_xyz_classification].[item_id].[All]" allUniqueName="[abc_xyz_classification].[item_id].[All]" dimensionUniqueName="[abc_xyz_classification]" displayFolder="" count="2" memberValueDatatype="130" unbalanced="0"/>
    <cacheHierarchy uniqueName="[abc_xyz_classification].[total_revenue]" caption="total_revenue" attribute="1" defaultMemberUniqueName="[abc_xyz_classification].[total_revenue].[All]" allUniqueName="[abc_xyz_classification].[total_revenue].[All]" dimensionUniqueName="[abc_xyz_classification]" displayFolder="" count="2" memberValueDatatype="5" unbalanced="0"/>
    <cacheHierarchy uniqueName="[abc_xyz_classification].[total_sales]" caption="total_sales" attribute="1" defaultMemberUniqueName="[abc_xyz_classification].[total_sales].[All]" allUniqueName="[abc_xyz_classification].[total_sales].[All]" dimensionUniqueName="[abc_xyz_classification]" displayFolder="" count="2" memberValueDatatype="130" unbalanced="0"/>
    <cacheHierarchy uniqueName="[abc_xyz_classification].[mean_daily_sales]" caption="mean_daily_sales" attribute="1" defaultMemberUniqueName="[abc_xyz_classification].[mean_daily_sales].[All]" allUniqueName="[abc_xyz_classification].[mean_daily_sales].[All]" dimensionUniqueName="[abc_xyz_classification]" displayFolder="" count="2" memberValueDatatype="130" unbalanced="0"/>
    <cacheHierarchy uniqueName="[abc_xyz_classification].[std_daily_sales]" caption="std_daily_sales" attribute="1" defaultMemberUniqueName="[abc_xyz_classification].[std_daily_sales].[All]" allUniqueName="[abc_xyz_classification].[std_daily_sales].[All]" dimensionUniqueName="[abc_xyz_classification]" displayFolder="" count="2" memberValueDatatype="130" unbalanced="0"/>
    <cacheHierarchy uniqueName="[abc_xyz_classification].[cv]" caption="cv" attribute="1" defaultMemberUniqueName="[abc_xyz_classification].[cv].[All]" allUniqueName="[abc_xyz_classification].[cv].[All]" dimensionUniqueName="[abc_xyz_classification]" displayFolder="" count="2" memberValueDatatype="130" unbalanced="0"/>
    <cacheHierarchy uniqueName="[abc_xyz_classification].[cum_revenue]" caption="cum_revenue" attribute="1" defaultMemberUniqueName="[abc_xyz_classification].[cum_revenue].[All]" allUniqueName="[abc_xyz_classification].[cum_revenue].[All]" dimensionUniqueName="[abc_xyz_classification]" displayFolder="" count="2" memberValueDatatype="130" unbalanced="0"/>
    <cacheHierarchy uniqueName="[abc_xyz_classification].[cum_perc]" caption="cum_perc" attribute="1" defaultMemberUniqueName="[abc_xyz_classification].[cum_perc].[All]" allUniqueName="[abc_xyz_classification].[cum_perc].[All]" dimensionUniqueName="[abc_xyz_classification]" displayFolder="" count="2" memberValueDatatype="130" unbalanced="0"/>
    <cacheHierarchy uniqueName="[abc_xyz_classification].[class_abc]" caption="class_abc" attribute="1" defaultMemberUniqueName="[abc_xyz_classification].[class_abc].[All]" allUniqueName="[abc_xyz_classification].[class_abc].[All]" dimensionUniqueName="[abc_xyz_classification]" displayFolder="" count="2" memberValueDatatype="130" unbalanced="0"/>
    <cacheHierarchy uniqueName="[abc_xyz_classification].[class_xyz]" caption="class_xyz" attribute="1" defaultMemberUniqueName="[abc_xyz_classification].[class_xyz].[All]" allUniqueName="[abc_xyz_classification].[class_xyz].[All]" dimensionUniqueName="[abc_xyz_classification]" displayFolder="" count="2" memberValueDatatype="130" unbalanced="0"/>
    <cacheHierarchy uniqueName="[abc_xyz_classification].[matriz_abc_xyz]" caption="matriz_abc_xyz" attribute="1" defaultMemberUniqueName="[abc_xyz_classification].[matriz_abc_xyz].[All]" allUniqueName="[abc_xyz_classification].[matriz_abc_xyz].[All]" dimensionUniqueName="[abc_xyz_classification]" displayFolder="" count="2" memberValueDatatype="130" unbalanced="0">
      <fieldsUsage count="2">
        <fieldUsage x="-1"/>
        <fieldUsage x="0"/>
      </fieldsUsage>
    </cacheHierarchy>
    <cacheHierarchy uniqueName="[dim_products_inventory].[item_id]" caption="item_id" attribute="1" defaultMemberUniqueName="[dim_products_inventory].[item_id].[All]" allUniqueName="[dim_products_inventory].[item_id].[All]" dimensionUniqueName="[dim_products_inventory]" displayFolder="" count="2" memberValueDatatype="130" unbalanced="0"/>
    <cacheHierarchy uniqueName="[dim_products_inventory].[total_revenue]" caption="total_revenue" attribute="1" defaultMemberUniqueName="[dim_products_inventory].[total_revenue].[All]" allUniqueName="[dim_products_inventory].[total_revenue].[All]" dimensionUniqueName="[dim_products_inventory]" displayFolder="" count="2" memberValueDatatype="20" unbalanced="0"/>
    <cacheHierarchy uniqueName="[dim_products_inventory].[total_sales]" caption="total_sales" attribute="1" defaultMemberUniqueName="[dim_products_inventory].[total_sales].[All]" allUniqueName="[dim_products_inventory].[total_sales].[All]" dimensionUniqueName="[dim_products_inventory]" displayFolder="" count="2" memberValueDatatype="20" unbalanced="0"/>
    <cacheHierarchy uniqueName="[dim_products_inventory].[mean_daily_sales]" caption="mean_daily_sales" attribute="1" defaultMemberUniqueName="[dim_products_inventory].[mean_daily_sales].[All]" allUniqueName="[dim_products_inventory].[mean_daily_sales].[All]" dimensionUniqueName="[dim_products_inventory]" displayFolder="" count="2" memberValueDatatype="20" unbalanced="0"/>
    <cacheHierarchy uniqueName="[dim_products_inventory].[std_daily_sales]" caption="std_daily_sales" attribute="1" defaultMemberUniqueName="[dim_products_inventory].[std_daily_sales].[All]" allUniqueName="[dim_products_inventory].[std_daily_sales].[All]" dimensionUniqueName="[dim_products_inventory]" displayFolder="" count="2" memberValueDatatype="20" unbalanced="0"/>
    <cacheHierarchy uniqueName="[dim_products_inventory].[cv]" caption="cv" attribute="1" defaultMemberUniqueName="[dim_products_inventory].[cv].[All]" allUniqueName="[dim_products_inventory].[cv].[All]" dimensionUniqueName="[dim_products_inventory]" displayFolder="" count="2" memberValueDatatype="20" unbalanced="0"/>
    <cacheHierarchy uniqueName="[dim_products_inventory].[cum_revenue]" caption="cum_revenue" attribute="1" defaultMemberUniqueName="[dim_products_inventory].[cum_revenue].[All]" allUniqueName="[dim_products_inventory].[cum_revenue].[All]" dimensionUniqueName="[dim_products_inventory]" displayFolder="" count="2" memberValueDatatype="20" unbalanced="0"/>
    <cacheHierarchy uniqueName="[dim_products_inventory].[cum_perc]" caption="cum_perc" attribute="1" defaultMemberUniqueName="[dim_products_inventory].[cum_perc].[All]" allUniqueName="[dim_products_inventory].[cum_perc].[All]" dimensionUniqueName="[dim_products_inventory]" displayFolder="" count="2" memberValueDatatype="20" unbalanced="0"/>
    <cacheHierarchy uniqueName="[dim_products_inventory].[class_abc]" caption="class_abc" attribute="1" defaultMemberUniqueName="[dim_products_inventory].[class_abc].[All]" allUniqueName="[dim_products_inventory].[class_abc].[All]" dimensionUniqueName="[dim_products_inventory]" displayFolder="" count="2" memberValueDatatype="130" unbalanced="0"/>
    <cacheHierarchy uniqueName="[dim_products_inventory].[class_xyz]" caption="class_xyz" attribute="1" defaultMemberUniqueName="[dim_products_inventory].[class_xyz].[All]" allUniqueName="[dim_products_inventory].[class_xyz].[All]" dimensionUniqueName="[dim_products_inventory]" displayFolder="" count="2" memberValueDatatype="130" unbalanced="0"/>
    <cacheHierarchy uniqueName="[dim_products_inventory].[matriz_abc_xyz]" caption="matriz_abc_xyz" attribute="1" defaultMemberUniqueName="[dim_products_inventory].[matriz_abc_xyz].[All]" allUniqueName="[dim_products_inventory].[matriz_abc_xyz].[All]" dimensionUniqueName="[dim_products_inventory]" displayFolder="" count="2" memberValueDatatype="130" unbalanced="0"/>
    <cacheHierarchy uniqueName="[dim_products_inventory].[z_score]" caption="z_score" attribute="1" defaultMemberUniqueName="[dim_products_inventory].[z_score].[All]" allUniqueName="[dim_products_inventory].[z_score].[All]" dimensionUniqueName="[dim_products_inventory]" displayFolder="" count="2" memberValueDatatype="20" unbalanced="0"/>
    <cacheHierarchy uniqueName="[dim_products_inventory].[lead_time_days]" caption="lead_time_days" attribute="1" defaultMemberUniqueName="[dim_products_inventory].[lead_time_days].[All]" allUniqueName="[dim_products_inventory].[lead_time_days].[All]" dimensionUniqueName="[dim_products_inventory]" displayFolder="" count="2" memberValueDatatype="20" unbalanced="0"/>
    <cacheHierarchy uniqueName="[dim_products_inventory].[safety_stock]" caption="safety_stock" attribute="1" defaultMemberUniqueName="[dim_products_inventory].[safety_stock].[All]" allUniqueName="[dim_products_inventory].[safety_stock].[All]" dimensionUniqueName="[dim_products_inventory]" displayFolder="" count="2" memberValueDatatype="20" unbalanced="0"/>
    <cacheHierarchy uniqueName="[dim_products_inventory].[reorder_point]" caption="reorder_point" attribute="1" defaultMemberUniqueName="[dim_products_inventory].[reorder_point].[All]" allUniqueName="[dim_products_inventory].[reorder_point].[All]" dimensionUniqueName="[dim_products_inventory]" displayFolder="" count="2" memberValueDatatype="20" unbalanced="0"/>
    <cacheHierarchy uniqueName="[fact_weekly_demand_forecast].[date]" caption="date" attribute="1" defaultMemberUniqueName="[fact_weekly_demand_forecast].[date].[All]" allUniqueName="[fact_weekly_demand_forecast].[date].[All]" dimensionUniqueName="[fact_weekly_demand_forecast]" displayFolder="" count="2" memberValueDatatype="130" unbalanced="0"/>
    <cacheHierarchy uniqueName="[fact_weekly_demand_forecast].[predicted_weekly_sales]" caption="predicted_weekly_sales" attribute="1" defaultMemberUniqueName="[fact_weekly_demand_forecast].[predicted_weekly_sales].[All]" allUniqueName="[fact_weekly_demand_forecast].[predicted_weekly_sales].[All]" dimensionUniqueName="[fact_weekly_demand_forecast]" displayFolder="" count="2" memberValueDatatype="5" unbalanced="0"/>
    <cacheHierarchy uniqueName="[fact_weekly_demand_forecast].[date (Mês)]" caption="date (Mês)" attribute="1" defaultMemberUniqueName="[fact_weekly_demand_forecast].[date (Mês)].[All]" allUniqueName="[fact_weekly_demand_forecast].[date (Mês)].[All]" dimensionUniqueName="[fact_weekly_demand_forecast]" displayFolder="" count="2" memberValueDatatype="130" unbalanced="0"/>
    <cacheHierarchy uniqueName="[fact_weekly_demand_forecast].[date (Índice de Mês)]" caption="date (Índice de Mês)" attribute="1" defaultMemberUniqueName="[fact_weekly_demand_forecast].[date (Índice de Mês)].[All]" allUniqueName="[fact_weekly_demand_forecast].[date (Índice de Mês)].[All]" dimensionUniqueName="[fact_weekly_demand_forecast]" displayFolder="" count="2" memberValueDatatype="20" unbalanced="0" hidden="1"/>
    <cacheHierarchy uniqueName="[Measures].[__XL_Count abc_xyz_classification]" caption="__XL_Count abc_xyz_classification" measure="1" displayFolder="" measureGroup="abc_xyz_classification" count="0" hidden="1"/>
    <cacheHierarchy uniqueName="[Measures].[__XL_Count dim_products_inventory]" caption="__XL_Count dim_products_inventory" measure="1" displayFolder="" measureGroup="dim_products_inventory" count="0" hidden="1"/>
    <cacheHierarchy uniqueName="[Measures].[__XL_Count fact_weekly_demand_forecast]" caption="__XL_Count fact_weekly_demand_forecast" measure="1" displayFolder="" measureGroup="fact_weekly_demand_forecast" count="0" hidden="1"/>
    <cacheHierarchy uniqueName="[Measures].[__No measures defined]" caption="__No measures defined" measure="1" displayFolder="" count="0" hidden="1"/>
    <cacheHierarchy uniqueName="[Measures].[Soma de safety_stock]" caption="Soma de safety_stock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édia de safety_stock]" caption="Média de safety_stock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total_revenue]" caption="Soma de total_revenue" measure="1" displayFolder="" measureGroup="abc_xyz_classifica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tem_id]" caption="Contagem de item_id" measure="1" displayFolder="" measureGroup="abc_xyz_classifica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reorder_point]" caption="Soma de reorder_point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édia de reorder_point]" caption="Média de reorder_point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lead_time_days]" caption="Soma de lead_time_days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Média de lead_time_days]" caption="Média de lead_time_days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predicted_weekly_sales]" caption="Soma de predicted_weekly_sales" measure="1" displayFolder="" measureGroup="fact_weekly_demand_forecas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4">
    <dimension name="abc_xyz_classification" uniqueName="[abc_xyz_classification]" caption="abc_xyz_classification"/>
    <dimension name="dim_products_inventory" uniqueName="[dim_products_inventory]" caption="dim_products_inventory"/>
    <dimension name="fact_weekly_demand_forecast" uniqueName="[fact_weekly_demand_forecast]" caption="fact_weekly_demand_forecast"/>
    <dimension measure="1" name="Measures" uniqueName="[Measures]" caption="Measures"/>
  </dimensions>
  <measureGroups count="3">
    <measureGroup name="abc_xyz_classification" caption="abc_xyz_classification"/>
    <measureGroup name="dim_products_inventory" caption="dim_products_inventory"/>
    <measureGroup name="fact_weekly_demand_forecast" caption="fact_weekly_demand_forecast"/>
  </measureGroups>
  <maps count="4">
    <map measureGroup="0" dimension="0"/>
    <map measureGroup="1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gu Ávila da Silva" refreshedDate="46319.953960763887" backgroundQuery="1" createdVersion="8" refreshedVersion="8" minRefreshableVersion="3" recordCount="0" supportSubquery="1" supportAdvancedDrill="1" xr:uid="{BA13C1E6-8CA9-44A4-860C-04AE19F7763E}">
  <cacheSource type="external" connectionId="4"/>
  <cacheFields count="6">
    <cacheField name="[dim_products_inventory].[item_id].[item_id]" caption="item_id" numFmtId="0" hierarchy="11" level="1">
      <sharedItems count="50">
        <s v="item_1"/>
        <s v="item_11"/>
        <s v="item_12"/>
        <s v="item_13"/>
        <s v="item_14"/>
        <s v="item_16"/>
        <s v="item_18"/>
        <s v="item_2"/>
        <s v="item_20"/>
        <s v="item_21"/>
        <s v="item_24"/>
        <s v="item_25"/>
        <s v="item_26"/>
        <s v="item_27"/>
        <s v="item_29"/>
        <s v="item_3"/>
        <s v="item_31"/>
        <s v="item_32"/>
        <s v="item_33"/>
        <s v="item_37"/>
        <s v="item_38"/>
        <s v="item_39"/>
        <s v="item_4"/>
        <s v="item_40"/>
        <s v="item_42"/>
        <s v="item_43"/>
        <s v="item_44"/>
        <s v="item_45"/>
        <s v="item_46"/>
        <s v="item_47"/>
        <s v="item_48"/>
        <s v="item_5"/>
        <s v="item_6"/>
        <s v="item_10"/>
        <s v="item_15"/>
        <s v="item_17"/>
        <s v="item_22"/>
        <s v="item_28"/>
        <s v="item_30"/>
        <s v="item_34"/>
        <s v="item_35"/>
        <s v="item_36"/>
        <s v="item_50"/>
        <s v="item_8"/>
        <s v="item_19"/>
        <s v="item_23"/>
        <s v="item_41"/>
        <s v="item_49"/>
        <s v="item_7"/>
        <s v="item_9"/>
      </sharedItems>
    </cacheField>
    <cacheField name="[dim_products_inventory].[class_abc].[class_abc]" caption="class_abc" numFmtId="0" hierarchy="19" level="1">
      <sharedItems count="3">
        <s v="A"/>
        <s v="B"/>
        <s v="C"/>
      </sharedItems>
    </cacheField>
    <cacheField name="[Measures].[Média de safety_stock]" caption="Média de safety_stock" numFmtId="0" hierarchy="35" level="32767"/>
    <cacheField name="[Measures].[Média de reorder_point]" caption="Média de reorder_point" numFmtId="0" hierarchy="39" level="32767"/>
    <cacheField name="[Measures].[Média de lead_time_days]" caption="Média de lead_time_days" numFmtId="0" hierarchy="41" level="32767"/>
    <cacheField name="[abc_xyz_classification].[matriz_abc_xyz].[matriz_abc_xyz]" caption="matriz_abc_xyz" numFmtId="0" hierarchy="10" level="1">
      <sharedItems containsSemiMixedTypes="0" containsNonDate="0" containsString="0"/>
    </cacheField>
  </cacheFields>
  <cacheHierarchies count="43">
    <cacheHierarchy uniqueName="[abc_xyz_classification].[item_id]" caption="item_id" attribute="1" defaultMemberUniqueName="[abc_xyz_classification].[item_id].[All]" allUniqueName="[abc_xyz_classification].[item_id].[All]" dimensionUniqueName="[abc_xyz_classification]" displayFolder="" count="0" memberValueDatatype="130" unbalanced="0"/>
    <cacheHierarchy uniqueName="[abc_xyz_classification].[total_revenue]" caption="total_revenue" attribute="1" defaultMemberUniqueName="[abc_xyz_classification].[total_revenue].[All]" allUniqueName="[abc_xyz_classification].[total_revenue].[All]" dimensionUniqueName="[abc_xyz_classification]" displayFolder="" count="0" memberValueDatatype="5" unbalanced="0"/>
    <cacheHierarchy uniqueName="[abc_xyz_classification].[total_sales]" caption="total_sales" attribute="1" defaultMemberUniqueName="[abc_xyz_classification].[total_sales].[All]" allUniqueName="[abc_xyz_classification].[total_sales].[All]" dimensionUniqueName="[abc_xyz_classification]" displayFolder="" count="0" memberValueDatatype="130" unbalanced="0"/>
    <cacheHierarchy uniqueName="[abc_xyz_classification].[mean_daily_sales]" caption="mean_daily_sales" attribute="1" defaultMemberUniqueName="[abc_xyz_classification].[mean_daily_sales].[All]" allUniqueName="[abc_xyz_classification].[mean_daily_sales].[All]" dimensionUniqueName="[abc_xyz_classification]" displayFolder="" count="0" memberValueDatatype="130" unbalanced="0"/>
    <cacheHierarchy uniqueName="[abc_xyz_classification].[std_daily_sales]" caption="std_daily_sales" attribute="1" defaultMemberUniqueName="[abc_xyz_classification].[std_daily_sales].[All]" allUniqueName="[abc_xyz_classification].[std_daily_sales].[All]" dimensionUniqueName="[abc_xyz_classification]" displayFolder="" count="0" memberValueDatatype="130" unbalanced="0"/>
    <cacheHierarchy uniqueName="[abc_xyz_classification].[cv]" caption="cv" attribute="1" defaultMemberUniqueName="[abc_xyz_classification].[cv].[All]" allUniqueName="[abc_xyz_classification].[cv].[All]" dimensionUniqueName="[abc_xyz_classification]" displayFolder="" count="0" memberValueDatatype="130" unbalanced="0"/>
    <cacheHierarchy uniqueName="[abc_xyz_classification].[cum_revenue]" caption="cum_revenue" attribute="1" defaultMemberUniqueName="[abc_xyz_classification].[cum_revenue].[All]" allUniqueName="[abc_xyz_classification].[cum_revenue].[All]" dimensionUniqueName="[abc_xyz_classification]" displayFolder="" count="0" memberValueDatatype="130" unbalanced="0"/>
    <cacheHierarchy uniqueName="[abc_xyz_classification].[cum_perc]" caption="cum_perc" attribute="1" defaultMemberUniqueName="[abc_xyz_classification].[cum_perc].[All]" allUniqueName="[abc_xyz_classification].[cum_perc].[All]" dimensionUniqueName="[abc_xyz_classification]" displayFolder="" count="0" memberValueDatatype="130" unbalanced="0"/>
    <cacheHierarchy uniqueName="[abc_xyz_classification].[class_abc]" caption="class_abc" attribute="1" defaultMemberUniqueName="[abc_xyz_classification].[class_abc].[All]" allUniqueName="[abc_xyz_classification].[class_abc].[All]" dimensionUniqueName="[abc_xyz_classification]" displayFolder="" count="2" memberValueDatatype="130" unbalanced="0"/>
    <cacheHierarchy uniqueName="[abc_xyz_classification].[class_xyz]" caption="class_xyz" attribute="1" defaultMemberUniqueName="[abc_xyz_classification].[class_xyz].[All]" allUniqueName="[abc_xyz_classification].[class_xyz].[All]" dimensionUniqueName="[abc_xyz_classification]" displayFolder="" count="0" memberValueDatatype="130" unbalanced="0"/>
    <cacheHierarchy uniqueName="[abc_xyz_classification].[matriz_abc_xyz]" caption="matriz_abc_xyz" attribute="1" defaultMemberUniqueName="[abc_xyz_classification].[matriz_abc_xyz].[All]" allUniqueName="[abc_xyz_classification].[matriz_abc_xyz].[All]" dimensionUniqueName="[abc_xyz_classification]" displayFolder="" count="2" memberValueDatatype="130" unbalanced="0">
      <fieldsUsage count="2">
        <fieldUsage x="-1"/>
        <fieldUsage x="5"/>
      </fieldsUsage>
    </cacheHierarchy>
    <cacheHierarchy uniqueName="[dim_products_inventory].[item_id]" caption="item_id" attribute="1" defaultMemberUniqueName="[dim_products_inventory].[item_id].[All]" allUniqueName="[dim_products_inventory].[item_id].[All]" dimensionUniqueName="[dim_products_inventory]" displayFolder="" count="2" memberValueDatatype="130" unbalanced="0">
      <fieldsUsage count="2">
        <fieldUsage x="-1"/>
        <fieldUsage x="0"/>
      </fieldsUsage>
    </cacheHierarchy>
    <cacheHierarchy uniqueName="[dim_products_inventory].[total_revenue]" caption="total_revenue" attribute="1" defaultMemberUniqueName="[dim_products_inventory].[total_revenue].[All]" allUniqueName="[dim_products_inventory].[total_revenue].[All]" dimensionUniqueName="[dim_products_inventory]" displayFolder="" count="0" memberValueDatatype="20" unbalanced="0"/>
    <cacheHierarchy uniqueName="[dim_products_inventory].[total_sales]" caption="total_sales" attribute="1" defaultMemberUniqueName="[dim_products_inventory].[total_sales].[All]" allUniqueName="[dim_products_inventory].[total_sales].[All]" dimensionUniqueName="[dim_products_inventory]" displayFolder="" count="0" memberValueDatatype="20" unbalanced="0"/>
    <cacheHierarchy uniqueName="[dim_products_inventory].[mean_daily_sales]" caption="mean_daily_sales" attribute="1" defaultMemberUniqueName="[dim_products_inventory].[mean_daily_sales].[All]" allUniqueName="[dim_products_inventory].[mean_daily_sales].[All]" dimensionUniqueName="[dim_products_inventory]" displayFolder="" count="0" memberValueDatatype="20" unbalanced="0"/>
    <cacheHierarchy uniqueName="[dim_products_inventory].[std_daily_sales]" caption="std_daily_sales" attribute="1" defaultMemberUniqueName="[dim_products_inventory].[std_daily_sales].[All]" allUniqueName="[dim_products_inventory].[std_daily_sales].[All]" dimensionUniqueName="[dim_products_inventory]" displayFolder="" count="0" memberValueDatatype="20" unbalanced="0"/>
    <cacheHierarchy uniqueName="[dim_products_inventory].[cv]" caption="cv" attribute="1" defaultMemberUniqueName="[dim_products_inventory].[cv].[All]" allUniqueName="[dim_products_inventory].[cv].[All]" dimensionUniqueName="[dim_products_inventory]" displayFolder="" count="0" memberValueDatatype="20" unbalanced="0"/>
    <cacheHierarchy uniqueName="[dim_products_inventory].[cum_revenue]" caption="cum_revenue" attribute="1" defaultMemberUniqueName="[dim_products_inventory].[cum_revenue].[All]" allUniqueName="[dim_products_inventory].[cum_revenue].[All]" dimensionUniqueName="[dim_products_inventory]" displayFolder="" count="0" memberValueDatatype="20" unbalanced="0"/>
    <cacheHierarchy uniqueName="[dim_products_inventory].[cum_perc]" caption="cum_perc" attribute="1" defaultMemberUniqueName="[dim_products_inventory].[cum_perc].[All]" allUniqueName="[dim_products_inventory].[cum_perc].[All]" dimensionUniqueName="[dim_products_inventory]" displayFolder="" count="0" memberValueDatatype="20" unbalanced="0"/>
    <cacheHierarchy uniqueName="[dim_products_inventory].[class_abc]" caption="class_abc" attribute="1" defaultMemberUniqueName="[dim_products_inventory].[class_abc].[All]" allUniqueName="[dim_products_inventory].[class_abc].[All]" dimensionUniqueName="[dim_products_inventory]" displayFolder="" count="2" memberValueDatatype="130" unbalanced="0">
      <fieldsUsage count="2">
        <fieldUsage x="-1"/>
        <fieldUsage x="1"/>
      </fieldsUsage>
    </cacheHierarchy>
    <cacheHierarchy uniqueName="[dim_products_inventory].[class_xyz]" caption="class_xyz" attribute="1" defaultMemberUniqueName="[dim_products_inventory].[class_xyz].[All]" allUniqueName="[dim_products_inventory].[class_xyz].[All]" dimensionUniqueName="[dim_products_inventory]" displayFolder="" count="0" memberValueDatatype="130" unbalanced="0"/>
    <cacheHierarchy uniqueName="[dim_products_inventory].[matriz_abc_xyz]" caption="matriz_abc_xyz" attribute="1" defaultMemberUniqueName="[dim_products_inventory].[matriz_abc_xyz].[All]" allUniqueName="[dim_products_inventory].[matriz_abc_xyz].[All]" dimensionUniqueName="[dim_products_inventory]" displayFolder="" count="0" memberValueDatatype="130" unbalanced="0"/>
    <cacheHierarchy uniqueName="[dim_products_inventory].[z_score]" caption="z_score" attribute="1" defaultMemberUniqueName="[dim_products_inventory].[z_score].[All]" allUniqueName="[dim_products_inventory].[z_score].[All]" dimensionUniqueName="[dim_products_inventory]" displayFolder="" count="0" memberValueDatatype="20" unbalanced="0"/>
    <cacheHierarchy uniqueName="[dim_products_inventory].[lead_time_days]" caption="lead_time_days" attribute="1" defaultMemberUniqueName="[dim_products_inventory].[lead_time_days].[All]" allUniqueName="[dim_products_inventory].[lead_time_days].[All]" dimensionUniqueName="[dim_products_inventory]" displayFolder="" count="0" memberValueDatatype="20" unbalanced="0"/>
    <cacheHierarchy uniqueName="[dim_products_inventory].[safety_stock]" caption="safety_stock" attribute="1" defaultMemberUniqueName="[dim_products_inventory].[safety_stock].[All]" allUniqueName="[dim_products_inventory].[safety_stock].[All]" dimensionUniqueName="[dim_products_inventory]" displayFolder="" count="0" memberValueDatatype="20" unbalanced="0"/>
    <cacheHierarchy uniqueName="[dim_products_inventory].[reorder_point]" caption="reorder_point" attribute="1" defaultMemberUniqueName="[dim_products_inventory].[reorder_point].[All]" allUniqueName="[dim_products_inventory].[reorder_point].[All]" dimensionUniqueName="[dim_products_inventory]" displayFolder="" count="0" memberValueDatatype="20" unbalanced="0"/>
    <cacheHierarchy uniqueName="[fact_weekly_demand_forecast].[date]" caption="date" attribute="1" defaultMemberUniqueName="[fact_weekly_demand_forecast].[date].[All]" allUniqueName="[fact_weekly_demand_forecast].[date].[All]" dimensionUniqueName="[fact_weekly_demand_forecast]" displayFolder="" count="0" memberValueDatatype="130" unbalanced="0"/>
    <cacheHierarchy uniqueName="[fact_weekly_demand_forecast].[predicted_weekly_sales]" caption="predicted_weekly_sales" attribute="1" defaultMemberUniqueName="[fact_weekly_demand_forecast].[predicted_weekly_sales].[All]" allUniqueName="[fact_weekly_demand_forecast].[predicted_weekly_sales].[All]" dimensionUniqueName="[fact_weekly_demand_forecast]" displayFolder="" count="0" memberValueDatatype="5" unbalanced="0"/>
    <cacheHierarchy uniqueName="[fact_weekly_demand_forecast].[date (Mês)]" caption="date (Mês)" attribute="1" defaultMemberUniqueName="[fact_weekly_demand_forecast].[date (Mês)].[All]" allUniqueName="[fact_weekly_demand_forecast].[date (Mês)].[All]" dimensionUniqueName="[fact_weekly_demand_forecast]" displayFolder="" count="0" memberValueDatatype="130" unbalanced="0"/>
    <cacheHierarchy uniqueName="[fact_weekly_demand_forecast].[date (Índice de Mês)]" caption="date (Índice de Mês)" attribute="1" defaultMemberUniqueName="[fact_weekly_demand_forecast].[date (Índice de Mês)].[All]" allUniqueName="[fact_weekly_demand_forecast].[date (Índice de Mês)].[All]" dimensionUniqueName="[fact_weekly_demand_forecast]" displayFolder="" count="0" memberValueDatatype="20" unbalanced="0" hidden="1"/>
    <cacheHierarchy uniqueName="[Measures].[__XL_Count abc_xyz_classification]" caption="__XL_Count abc_xyz_classification" measure="1" displayFolder="" measureGroup="abc_xyz_classification" count="0" hidden="1"/>
    <cacheHierarchy uniqueName="[Measures].[__XL_Count dim_products_inventory]" caption="__XL_Count dim_products_inventory" measure="1" displayFolder="" measureGroup="dim_products_inventory" count="0" hidden="1"/>
    <cacheHierarchy uniqueName="[Measures].[__XL_Count fact_weekly_demand_forecast]" caption="__XL_Count fact_weekly_demand_forecast" measure="1" displayFolder="" measureGroup="fact_weekly_demand_forecast" count="0" hidden="1"/>
    <cacheHierarchy uniqueName="[Measures].[__No measures defined]" caption="__No measures defined" measure="1" displayFolder="" count="0" hidden="1"/>
    <cacheHierarchy uniqueName="[Measures].[Soma de safety_stock]" caption="Soma de safety_stock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édia de safety_stock]" caption="Média de safety_stock" measure="1" displayFolder="" measureGroup="dim_products_invento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total_revenue]" caption="Soma de total_revenue" measure="1" displayFolder="" measureGroup="abc_xyz_classificatio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tem_id]" caption="Contagem de item_id" measure="1" displayFolder="" measureGroup="abc_xyz_classificat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reorder_point]" caption="Soma de reorder_point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édia de reorder_point]" caption="Média de reorder_point" measure="1" displayFolder="" measureGroup="dim_products_invento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lead_time_days]" caption="Soma de lead_time_days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Média de lead_time_days]" caption="Média de lead_time_days" measure="1" displayFolder="" measureGroup="dim_products_invento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predicted_weekly_sales]" caption="Soma de predicted_weekly_sales" measure="1" displayFolder="" measureGroup="fact_weekly_demand_forecas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4">
    <dimension name="abc_xyz_classification" uniqueName="[abc_xyz_classification]" caption="abc_xyz_classification"/>
    <dimension name="dim_products_inventory" uniqueName="[dim_products_inventory]" caption="dim_products_inventory"/>
    <dimension name="fact_weekly_demand_forecast" uniqueName="[fact_weekly_demand_forecast]" caption="fact_weekly_demand_forecast"/>
    <dimension measure="1" name="Measures" uniqueName="[Measures]" caption="Measures"/>
  </dimensions>
  <measureGroups count="3">
    <measureGroup name="abc_xyz_classification" caption="abc_xyz_classification"/>
    <measureGroup name="dim_products_inventory" caption="dim_products_inventory"/>
    <measureGroup name="fact_weekly_demand_forecast" caption="fact_weekly_demand_forecast"/>
  </measureGroups>
  <maps count="4">
    <map measureGroup="0" dimension="0"/>
    <map measureGroup="1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gu Ávila da Silva" refreshedDate="46319.953961458334" backgroundQuery="1" createdVersion="8" refreshedVersion="8" minRefreshableVersion="3" recordCount="0" supportSubquery="1" supportAdvancedDrill="1" xr:uid="{55AF0B30-43FD-4078-BF11-D5AB1C2FA4D8}">
  <cacheSource type="external" connectionId="4"/>
  <cacheFields count="3">
    <cacheField name="[Measures].[Soma de predicted_weekly_sales]" caption="Soma de predicted_weekly_sales" numFmtId="0" hierarchy="42" level="32767"/>
    <cacheField name="[fact_weekly_demand_forecast].[date (Mês)].[date (Mês)]" caption="date (Mês)" numFmtId="0" hierarchy="28" level="1">
      <sharedItems count="52">
        <s v="2024-01-14"/>
        <s v="2024-01-21"/>
        <s v="2024-01-07"/>
        <s v="2024-01-28"/>
        <s v="2024-02-18"/>
        <s v="2024-02-04"/>
        <s v="2024-02-11"/>
        <s v="2024-02-25"/>
        <s v="2024-03-03"/>
        <s v="2024-03-10"/>
        <s v="2024-03-17"/>
        <s v="2024-03-24"/>
        <s v="2024-03-31"/>
        <s v="2024-04-07"/>
        <s v="2024-04-14"/>
        <s v="2024-04-21"/>
        <s v="2024-04-28"/>
        <s v="2024-05-12"/>
        <s v="2024-05-19"/>
        <s v="2024-05-26"/>
        <s v="2024-05-05"/>
        <s v="2024-06-30"/>
        <s v="2024-06-02"/>
        <s v="2024-06-09"/>
        <s v="2024-06-16"/>
        <s v="2024-06-23"/>
        <s v="2024-07-07"/>
        <s v="2024-07-14"/>
        <s v="2024-07-21"/>
        <s v="2024-07-28"/>
        <s v="2024-08-18"/>
        <s v="2024-08-04"/>
        <s v="2024-08-25"/>
        <s v="2024-08-11"/>
        <s v="2024-09-29"/>
        <s v="2024-09-01"/>
        <s v="2024-09-08"/>
        <s v="2024-09-15"/>
        <s v="2024-09-22"/>
        <s v="2024-10-20"/>
        <s v="2024-10-06"/>
        <s v="2024-10-13"/>
        <s v="2024-10-27"/>
        <s v="2024-11-10"/>
        <s v="2024-11-17"/>
        <s v="2024-11-24"/>
        <s v="2024-11-03"/>
        <s v="2024-12-29"/>
        <s v="2024-12-01"/>
        <s v="2024-12-08"/>
        <s v="2024-12-15"/>
        <s v="2024-12-22"/>
      </sharedItems>
    </cacheField>
    <cacheField name="[abc_xyz_classification].[matriz_abc_xyz].[matriz_abc_xyz]" caption="matriz_abc_xyz" numFmtId="0" hierarchy="10" level="1">
      <sharedItems containsSemiMixedTypes="0" containsNonDate="0" containsString="0"/>
    </cacheField>
  </cacheFields>
  <cacheHierarchies count="43">
    <cacheHierarchy uniqueName="[abc_xyz_classification].[item_id]" caption="item_id" attribute="1" defaultMemberUniqueName="[abc_xyz_classification].[item_id].[All]" allUniqueName="[abc_xyz_classification].[item_id].[All]" dimensionUniqueName="[abc_xyz_classification]" displayFolder="" count="0" memberValueDatatype="130" unbalanced="0"/>
    <cacheHierarchy uniqueName="[abc_xyz_classification].[total_revenue]" caption="total_revenue" attribute="1" defaultMemberUniqueName="[abc_xyz_classification].[total_revenue].[All]" allUniqueName="[abc_xyz_classification].[total_revenue].[All]" dimensionUniqueName="[abc_xyz_classification]" displayFolder="" count="0" memberValueDatatype="5" unbalanced="0"/>
    <cacheHierarchy uniqueName="[abc_xyz_classification].[total_sales]" caption="total_sales" attribute="1" defaultMemberUniqueName="[abc_xyz_classification].[total_sales].[All]" allUniqueName="[abc_xyz_classification].[total_sales].[All]" dimensionUniqueName="[abc_xyz_classification]" displayFolder="" count="0" memberValueDatatype="130" unbalanced="0"/>
    <cacheHierarchy uniqueName="[abc_xyz_classification].[mean_daily_sales]" caption="mean_daily_sales" attribute="1" defaultMemberUniqueName="[abc_xyz_classification].[mean_daily_sales].[All]" allUniqueName="[abc_xyz_classification].[mean_daily_sales].[All]" dimensionUniqueName="[abc_xyz_classification]" displayFolder="" count="0" memberValueDatatype="130" unbalanced="0"/>
    <cacheHierarchy uniqueName="[abc_xyz_classification].[std_daily_sales]" caption="std_daily_sales" attribute="1" defaultMemberUniqueName="[abc_xyz_classification].[std_daily_sales].[All]" allUniqueName="[abc_xyz_classification].[std_daily_sales].[All]" dimensionUniqueName="[abc_xyz_classification]" displayFolder="" count="0" memberValueDatatype="130" unbalanced="0"/>
    <cacheHierarchy uniqueName="[abc_xyz_classification].[cv]" caption="cv" attribute="1" defaultMemberUniqueName="[abc_xyz_classification].[cv].[All]" allUniqueName="[abc_xyz_classification].[cv].[All]" dimensionUniqueName="[abc_xyz_classification]" displayFolder="" count="0" memberValueDatatype="130" unbalanced="0"/>
    <cacheHierarchy uniqueName="[abc_xyz_classification].[cum_revenue]" caption="cum_revenue" attribute="1" defaultMemberUniqueName="[abc_xyz_classification].[cum_revenue].[All]" allUniqueName="[abc_xyz_classification].[cum_revenue].[All]" dimensionUniqueName="[abc_xyz_classification]" displayFolder="" count="0" memberValueDatatype="130" unbalanced="0"/>
    <cacheHierarchy uniqueName="[abc_xyz_classification].[cum_perc]" caption="cum_perc" attribute="1" defaultMemberUniqueName="[abc_xyz_classification].[cum_perc].[All]" allUniqueName="[abc_xyz_classification].[cum_perc].[All]" dimensionUniqueName="[abc_xyz_classification]" displayFolder="" count="0" memberValueDatatype="130" unbalanced="0"/>
    <cacheHierarchy uniqueName="[abc_xyz_classification].[class_abc]" caption="class_abc" attribute="1" defaultMemberUniqueName="[abc_xyz_classification].[class_abc].[All]" allUniqueName="[abc_xyz_classification].[class_abc].[All]" dimensionUniqueName="[abc_xyz_classification]" displayFolder="" count="2" memberValueDatatype="130" unbalanced="0"/>
    <cacheHierarchy uniqueName="[abc_xyz_classification].[class_xyz]" caption="class_xyz" attribute="1" defaultMemberUniqueName="[abc_xyz_classification].[class_xyz].[All]" allUniqueName="[abc_xyz_classification].[class_xyz].[All]" dimensionUniqueName="[abc_xyz_classification]" displayFolder="" count="0" memberValueDatatype="130" unbalanced="0"/>
    <cacheHierarchy uniqueName="[abc_xyz_classification].[matriz_abc_xyz]" caption="matriz_abc_xyz" attribute="1" defaultMemberUniqueName="[abc_xyz_classification].[matriz_abc_xyz].[All]" allUniqueName="[abc_xyz_classification].[matriz_abc_xyz].[All]" dimensionUniqueName="[abc_xyz_classification]" displayFolder="" count="2" memberValueDatatype="130" unbalanced="0">
      <fieldsUsage count="2">
        <fieldUsage x="-1"/>
        <fieldUsage x="2"/>
      </fieldsUsage>
    </cacheHierarchy>
    <cacheHierarchy uniqueName="[dim_products_inventory].[item_id]" caption="item_id" attribute="1" defaultMemberUniqueName="[dim_products_inventory].[item_id].[All]" allUniqueName="[dim_products_inventory].[item_id].[All]" dimensionUniqueName="[dim_products_inventory]" displayFolder="" count="0" memberValueDatatype="130" unbalanced="0"/>
    <cacheHierarchy uniqueName="[dim_products_inventory].[total_revenue]" caption="total_revenue" attribute="1" defaultMemberUniqueName="[dim_products_inventory].[total_revenue].[All]" allUniqueName="[dim_products_inventory].[total_revenue].[All]" dimensionUniqueName="[dim_products_inventory]" displayFolder="" count="0" memberValueDatatype="20" unbalanced="0"/>
    <cacheHierarchy uniqueName="[dim_products_inventory].[total_sales]" caption="total_sales" attribute="1" defaultMemberUniqueName="[dim_products_inventory].[total_sales].[All]" allUniqueName="[dim_products_inventory].[total_sales].[All]" dimensionUniqueName="[dim_products_inventory]" displayFolder="" count="0" memberValueDatatype="20" unbalanced="0"/>
    <cacheHierarchy uniqueName="[dim_products_inventory].[mean_daily_sales]" caption="mean_daily_sales" attribute="1" defaultMemberUniqueName="[dim_products_inventory].[mean_daily_sales].[All]" allUniqueName="[dim_products_inventory].[mean_daily_sales].[All]" dimensionUniqueName="[dim_products_inventory]" displayFolder="" count="0" memberValueDatatype="20" unbalanced="0"/>
    <cacheHierarchy uniqueName="[dim_products_inventory].[std_daily_sales]" caption="std_daily_sales" attribute="1" defaultMemberUniqueName="[dim_products_inventory].[std_daily_sales].[All]" allUniqueName="[dim_products_inventory].[std_daily_sales].[All]" dimensionUniqueName="[dim_products_inventory]" displayFolder="" count="0" memberValueDatatype="20" unbalanced="0"/>
    <cacheHierarchy uniqueName="[dim_products_inventory].[cv]" caption="cv" attribute="1" defaultMemberUniqueName="[dim_products_inventory].[cv].[All]" allUniqueName="[dim_products_inventory].[cv].[All]" dimensionUniqueName="[dim_products_inventory]" displayFolder="" count="0" memberValueDatatype="20" unbalanced="0"/>
    <cacheHierarchy uniqueName="[dim_products_inventory].[cum_revenue]" caption="cum_revenue" attribute="1" defaultMemberUniqueName="[dim_products_inventory].[cum_revenue].[All]" allUniqueName="[dim_products_inventory].[cum_revenue].[All]" dimensionUniqueName="[dim_products_inventory]" displayFolder="" count="0" memberValueDatatype="20" unbalanced="0"/>
    <cacheHierarchy uniqueName="[dim_products_inventory].[cum_perc]" caption="cum_perc" attribute="1" defaultMemberUniqueName="[dim_products_inventory].[cum_perc].[All]" allUniqueName="[dim_products_inventory].[cum_perc].[All]" dimensionUniqueName="[dim_products_inventory]" displayFolder="" count="0" memberValueDatatype="20" unbalanced="0"/>
    <cacheHierarchy uniqueName="[dim_products_inventory].[class_abc]" caption="class_abc" attribute="1" defaultMemberUniqueName="[dim_products_inventory].[class_abc].[All]" allUniqueName="[dim_products_inventory].[class_abc].[All]" dimensionUniqueName="[dim_products_inventory]" displayFolder="" count="0" memberValueDatatype="130" unbalanced="0"/>
    <cacheHierarchy uniqueName="[dim_products_inventory].[class_xyz]" caption="class_xyz" attribute="1" defaultMemberUniqueName="[dim_products_inventory].[class_xyz].[All]" allUniqueName="[dim_products_inventory].[class_xyz].[All]" dimensionUniqueName="[dim_products_inventory]" displayFolder="" count="0" memberValueDatatype="130" unbalanced="0"/>
    <cacheHierarchy uniqueName="[dim_products_inventory].[matriz_abc_xyz]" caption="matriz_abc_xyz" attribute="1" defaultMemberUniqueName="[dim_products_inventory].[matriz_abc_xyz].[All]" allUniqueName="[dim_products_inventory].[matriz_abc_xyz].[All]" dimensionUniqueName="[dim_products_inventory]" displayFolder="" count="0" memberValueDatatype="130" unbalanced="0"/>
    <cacheHierarchy uniqueName="[dim_products_inventory].[z_score]" caption="z_score" attribute="1" defaultMemberUniqueName="[dim_products_inventory].[z_score].[All]" allUniqueName="[dim_products_inventory].[z_score].[All]" dimensionUniqueName="[dim_products_inventory]" displayFolder="" count="0" memberValueDatatype="20" unbalanced="0"/>
    <cacheHierarchy uniqueName="[dim_products_inventory].[lead_time_days]" caption="lead_time_days" attribute="1" defaultMemberUniqueName="[dim_products_inventory].[lead_time_days].[All]" allUniqueName="[dim_products_inventory].[lead_time_days].[All]" dimensionUniqueName="[dim_products_inventory]" displayFolder="" count="0" memberValueDatatype="20" unbalanced="0"/>
    <cacheHierarchy uniqueName="[dim_products_inventory].[safety_stock]" caption="safety_stock" attribute="1" defaultMemberUniqueName="[dim_products_inventory].[safety_stock].[All]" allUniqueName="[dim_products_inventory].[safety_stock].[All]" dimensionUniqueName="[dim_products_inventory]" displayFolder="" count="0" memberValueDatatype="20" unbalanced="0"/>
    <cacheHierarchy uniqueName="[dim_products_inventory].[reorder_point]" caption="reorder_point" attribute="1" defaultMemberUniqueName="[dim_products_inventory].[reorder_point].[All]" allUniqueName="[dim_products_inventory].[reorder_point].[All]" dimensionUniqueName="[dim_products_inventory]" displayFolder="" count="0" memberValueDatatype="20" unbalanced="0"/>
    <cacheHierarchy uniqueName="[fact_weekly_demand_forecast].[date]" caption="date" attribute="1" defaultMemberUniqueName="[fact_weekly_demand_forecast].[date].[All]" allUniqueName="[fact_weekly_demand_forecast].[date].[All]" dimensionUniqueName="[fact_weekly_demand_forecast]" displayFolder="" count="2" memberValueDatatype="130" unbalanced="0"/>
    <cacheHierarchy uniqueName="[fact_weekly_demand_forecast].[predicted_weekly_sales]" caption="predicted_weekly_sales" attribute="1" defaultMemberUniqueName="[fact_weekly_demand_forecast].[predicted_weekly_sales].[All]" allUniqueName="[fact_weekly_demand_forecast].[predicted_weekly_sales].[All]" dimensionUniqueName="[fact_weekly_demand_forecast]" displayFolder="" count="0" memberValueDatatype="5" unbalanced="0"/>
    <cacheHierarchy uniqueName="[fact_weekly_demand_forecast].[date (Mês)]" caption="date (Mês)" attribute="1" defaultMemberUniqueName="[fact_weekly_demand_forecast].[date (Mês)].[All]" allUniqueName="[fact_weekly_demand_forecast].[date (Mês)].[All]" dimensionUniqueName="[fact_weekly_demand_forecast]" displayFolder="" count="2" memberValueDatatype="130" unbalanced="0">
      <fieldsUsage count="2">
        <fieldUsage x="-1"/>
        <fieldUsage x="1"/>
      </fieldsUsage>
    </cacheHierarchy>
    <cacheHierarchy uniqueName="[fact_weekly_demand_forecast].[date (Índice de Mês)]" caption="date (Índice de Mês)" attribute="1" defaultMemberUniqueName="[fact_weekly_demand_forecast].[date (Índice de Mês)].[All]" allUniqueName="[fact_weekly_demand_forecast].[date (Índice de Mês)].[All]" dimensionUniqueName="[fact_weekly_demand_forecast]" displayFolder="" count="0" memberValueDatatype="20" unbalanced="0" hidden="1"/>
    <cacheHierarchy uniqueName="[Measures].[__XL_Count abc_xyz_classification]" caption="__XL_Count abc_xyz_classification" measure="1" displayFolder="" measureGroup="abc_xyz_classification" count="0" hidden="1"/>
    <cacheHierarchy uniqueName="[Measures].[__XL_Count dim_products_inventory]" caption="__XL_Count dim_products_inventory" measure="1" displayFolder="" measureGroup="dim_products_inventory" count="0" hidden="1"/>
    <cacheHierarchy uniqueName="[Measures].[__XL_Count fact_weekly_demand_forecast]" caption="__XL_Count fact_weekly_demand_forecast" measure="1" displayFolder="" measureGroup="fact_weekly_demand_forecast" count="0" hidden="1"/>
    <cacheHierarchy uniqueName="[Measures].[__No measures defined]" caption="__No measures defined" measure="1" displayFolder="" count="0" hidden="1"/>
    <cacheHierarchy uniqueName="[Measures].[Soma de safety_stock]" caption="Soma de safety_stock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édia de safety_stock]" caption="Média de safety_stock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total_revenue]" caption="Soma de total_revenue" measure="1" displayFolder="" measureGroup="abc_xyz_classificatio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tem_id]" caption="Contagem de item_id" measure="1" displayFolder="" measureGroup="abc_xyz_classificat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reorder_point]" caption="Soma de reorder_point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édia de reorder_point]" caption="Média de reorder_point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lead_time_days]" caption="Soma de lead_time_days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Média de lead_time_days]" caption="Média de lead_time_days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predicted_weekly_sales]" caption="Soma de predicted_weekly_sales" measure="1" displayFolder="" measureGroup="fact_weekly_demand_forecas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4">
    <dimension name="abc_xyz_classification" uniqueName="[abc_xyz_classification]" caption="abc_xyz_classification"/>
    <dimension name="dim_products_inventory" uniqueName="[dim_products_inventory]" caption="dim_products_inventory"/>
    <dimension name="fact_weekly_demand_forecast" uniqueName="[fact_weekly_demand_forecast]" caption="fact_weekly_demand_forecast"/>
    <dimension measure="1" name="Measures" uniqueName="[Measures]" caption="Measures"/>
  </dimensions>
  <measureGroups count="3">
    <measureGroup name="abc_xyz_classification" caption="abc_xyz_classification"/>
    <measureGroup name="dim_products_inventory" caption="dim_products_inventory"/>
    <measureGroup name="fact_weekly_demand_forecast" caption="fact_weekly_demand_forecast"/>
  </measureGroups>
  <maps count="4">
    <map measureGroup="0" dimension="0"/>
    <map measureGroup="1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gu Ávila da Silva" refreshedDate="46319.806723611109" backgroundQuery="1" createdVersion="3" refreshedVersion="8" minRefreshableVersion="3" recordCount="0" supportSubquery="1" supportAdvancedDrill="1" xr:uid="{65E8ABA2-648F-4AD4-B0F6-F8DC2A928760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3">
    <cacheHierarchy uniqueName="[abc_xyz_classification].[item_id]" caption="item_id" attribute="1" defaultMemberUniqueName="[abc_xyz_classification].[item_id].[All]" allUniqueName="[abc_xyz_classification].[item_id].[All]" dimensionUniqueName="[abc_xyz_classification]" displayFolder="" count="0" memberValueDatatype="130" unbalanced="0"/>
    <cacheHierarchy uniqueName="[abc_xyz_classification].[total_revenue]" caption="total_revenue" attribute="1" defaultMemberUniqueName="[abc_xyz_classification].[total_revenue].[All]" allUniqueName="[abc_xyz_classification].[total_revenue].[All]" dimensionUniqueName="[abc_xyz_classification]" displayFolder="" count="0" memberValueDatatype="5" unbalanced="0"/>
    <cacheHierarchy uniqueName="[abc_xyz_classification].[total_sales]" caption="total_sales" attribute="1" defaultMemberUniqueName="[abc_xyz_classification].[total_sales].[All]" allUniqueName="[abc_xyz_classification].[total_sales].[All]" dimensionUniqueName="[abc_xyz_classification]" displayFolder="" count="0" memberValueDatatype="130" unbalanced="0"/>
    <cacheHierarchy uniqueName="[abc_xyz_classification].[mean_daily_sales]" caption="mean_daily_sales" attribute="1" defaultMemberUniqueName="[abc_xyz_classification].[mean_daily_sales].[All]" allUniqueName="[abc_xyz_classification].[mean_daily_sales].[All]" dimensionUniqueName="[abc_xyz_classification]" displayFolder="" count="0" memberValueDatatype="130" unbalanced="0"/>
    <cacheHierarchy uniqueName="[abc_xyz_classification].[std_daily_sales]" caption="std_daily_sales" attribute="1" defaultMemberUniqueName="[abc_xyz_classification].[std_daily_sales].[All]" allUniqueName="[abc_xyz_classification].[std_daily_sales].[All]" dimensionUniqueName="[abc_xyz_classification]" displayFolder="" count="0" memberValueDatatype="130" unbalanced="0"/>
    <cacheHierarchy uniqueName="[abc_xyz_classification].[cv]" caption="cv" attribute="1" defaultMemberUniqueName="[abc_xyz_classification].[cv].[All]" allUniqueName="[abc_xyz_classification].[cv].[All]" dimensionUniqueName="[abc_xyz_classification]" displayFolder="" count="0" memberValueDatatype="130" unbalanced="0"/>
    <cacheHierarchy uniqueName="[abc_xyz_classification].[cum_revenue]" caption="cum_revenue" attribute="1" defaultMemberUniqueName="[abc_xyz_classification].[cum_revenue].[All]" allUniqueName="[abc_xyz_classification].[cum_revenue].[All]" dimensionUniqueName="[abc_xyz_classification]" displayFolder="" count="0" memberValueDatatype="130" unbalanced="0"/>
    <cacheHierarchy uniqueName="[abc_xyz_classification].[cum_perc]" caption="cum_perc" attribute="1" defaultMemberUniqueName="[abc_xyz_classification].[cum_perc].[All]" allUniqueName="[abc_xyz_classification].[cum_perc].[All]" dimensionUniqueName="[abc_xyz_classification]" displayFolder="" count="0" memberValueDatatype="130" unbalanced="0"/>
    <cacheHierarchy uniqueName="[abc_xyz_classification].[class_abc]" caption="class_abc" attribute="1" defaultMemberUniqueName="[abc_xyz_classification].[class_abc].[All]" allUniqueName="[abc_xyz_classification].[class_abc].[All]" dimensionUniqueName="[abc_xyz_classification]" displayFolder="" count="2" memberValueDatatype="130" unbalanced="0"/>
    <cacheHierarchy uniqueName="[abc_xyz_classification].[class_xyz]" caption="class_xyz" attribute="1" defaultMemberUniqueName="[abc_xyz_classification].[class_xyz].[All]" allUniqueName="[abc_xyz_classification].[class_xyz].[All]" dimensionUniqueName="[abc_xyz_classification]" displayFolder="" count="0" memberValueDatatype="130" unbalanced="0"/>
    <cacheHierarchy uniqueName="[abc_xyz_classification].[matriz_abc_xyz]" caption="matriz_abc_xyz" attribute="1" defaultMemberUniqueName="[abc_xyz_classification].[matriz_abc_xyz].[All]" allUniqueName="[abc_xyz_classification].[matriz_abc_xyz].[All]" dimensionUniqueName="[abc_xyz_classification]" displayFolder="" count="2" memberValueDatatype="130" unbalanced="0"/>
    <cacheHierarchy uniqueName="[dim_products_inventory].[item_id]" caption="item_id" attribute="1" defaultMemberUniqueName="[dim_products_inventory].[item_id].[All]" allUniqueName="[dim_products_inventory].[item_id].[All]" dimensionUniqueName="[dim_products_inventory]" displayFolder="" count="0" memberValueDatatype="130" unbalanced="0"/>
    <cacheHierarchy uniqueName="[dim_products_inventory].[total_revenue]" caption="total_revenue" attribute="1" defaultMemberUniqueName="[dim_products_inventory].[total_revenue].[All]" allUniqueName="[dim_products_inventory].[total_revenue].[All]" dimensionUniqueName="[dim_products_inventory]" displayFolder="" count="0" memberValueDatatype="20" unbalanced="0"/>
    <cacheHierarchy uniqueName="[dim_products_inventory].[total_sales]" caption="total_sales" attribute="1" defaultMemberUniqueName="[dim_products_inventory].[total_sales].[All]" allUniqueName="[dim_products_inventory].[total_sales].[All]" dimensionUniqueName="[dim_products_inventory]" displayFolder="" count="0" memberValueDatatype="20" unbalanced="0"/>
    <cacheHierarchy uniqueName="[dim_products_inventory].[mean_daily_sales]" caption="mean_daily_sales" attribute="1" defaultMemberUniqueName="[dim_products_inventory].[mean_daily_sales].[All]" allUniqueName="[dim_products_inventory].[mean_daily_sales].[All]" dimensionUniqueName="[dim_products_inventory]" displayFolder="" count="0" memberValueDatatype="20" unbalanced="0"/>
    <cacheHierarchy uniqueName="[dim_products_inventory].[std_daily_sales]" caption="std_daily_sales" attribute="1" defaultMemberUniqueName="[dim_products_inventory].[std_daily_sales].[All]" allUniqueName="[dim_products_inventory].[std_daily_sales].[All]" dimensionUniqueName="[dim_products_inventory]" displayFolder="" count="0" memberValueDatatype="20" unbalanced="0"/>
    <cacheHierarchy uniqueName="[dim_products_inventory].[cv]" caption="cv" attribute="1" defaultMemberUniqueName="[dim_products_inventory].[cv].[All]" allUniqueName="[dim_products_inventory].[cv].[All]" dimensionUniqueName="[dim_products_inventory]" displayFolder="" count="0" memberValueDatatype="20" unbalanced="0"/>
    <cacheHierarchy uniqueName="[dim_products_inventory].[cum_revenue]" caption="cum_revenue" attribute="1" defaultMemberUniqueName="[dim_products_inventory].[cum_revenue].[All]" allUniqueName="[dim_products_inventory].[cum_revenue].[All]" dimensionUniqueName="[dim_products_inventory]" displayFolder="" count="0" memberValueDatatype="20" unbalanced="0"/>
    <cacheHierarchy uniqueName="[dim_products_inventory].[cum_perc]" caption="cum_perc" attribute="1" defaultMemberUniqueName="[dim_products_inventory].[cum_perc].[All]" allUniqueName="[dim_products_inventory].[cum_perc].[All]" dimensionUniqueName="[dim_products_inventory]" displayFolder="" count="0" memberValueDatatype="20" unbalanced="0"/>
    <cacheHierarchy uniqueName="[dim_products_inventory].[class_abc]" caption="class_abc" attribute="1" defaultMemberUniqueName="[dim_products_inventory].[class_abc].[All]" allUniqueName="[dim_products_inventory].[class_abc].[All]" dimensionUniqueName="[dim_products_inventory]" displayFolder="" count="0" memberValueDatatype="130" unbalanced="0"/>
    <cacheHierarchy uniqueName="[dim_products_inventory].[class_xyz]" caption="class_xyz" attribute="1" defaultMemberUniqueName="[dim_products_inventory].[class_xyz].[All]" allUniqueName="[dim_products_inventory].[class_xyz].[All]" dimensionUniqueName="[dim_products_inventory]" displayFolder="" count="0" memberValueDatatype="130" unbalanced="0"/>
    <cacheHierarchy uniqueName="[dim_products_inventory].[matriz_abc_xyz]" caption="matriz_abc_xyz" attribute="1" defaultMemberUniqueName="[dim_products_inventory].[matriz_abc_xyz].[All]" allUniqueName="[dim_products_inventory].[matriz_abc_xyz].[All]" dimensionUniqueName="[dim_products_inventory]" displayFolder="" count="0" memberValueDatatype="130" unbalanced="0"/>
    <cacheHierarchy uniqueName="[dim_products_inventory].[z_score]" caption="z_score" attribute="1" defaultMemberUniqueName="[dim_products_inventory].[z_score].[All]" allUniqueName="[dim_products_inventory].[z_score].[All]" dimensionUniqueName="[dim_products_inventory]" displayFolder="" count="0" memberValueDatatype="20" unbalanced="0"/>
    <cacheHierarchy uniqueName="[dim_products_inventory].[lead_time_days]" caption="lead_time_days" attribute="1" defaultMemberUniqueName="[dim_products_inventory].[lead_time_days].[All]" allUniqueName="[dim_products_inventory].[lead_time_days].[All]" dimensionUniqueName="[dim_products_inventory]" displayFolder="" count="0" memberValueDatatype="20" unbalanced="0"/>
    <cacheHierarchy uniqueName="[dim_products_inventory].[safety_stock]" caption="safety_stock" attribute="1" defaultMemberUniqueName="[dim_products_inventory].[safety_stock].[All]" allUniqueName="[dim_products_inventory].[safety_stock].[All]" dimensionUniqueName="[dim_products_inventory]" displayFolder="" count="0" memberValueDatatype="20" unbalanced="0"/>
    <cacheHierarchy uniqueName="[dim_products_inventory].[reorder_point]" caption="reorder_point" attribute="1" defaultMemberUniqueName="[dim_products_inventory].[reorder_point].[All]" allUniqueName="[dim_products_inventory].[reorder_point].[All]" dimensionUniqueName="[dim_products_inventory]" displayFolder="" count="0" memberValueDatatype="20" unbalanced="0"/>
    <cacheHierarchy uniqueName="[fact_weekly_demand_forecast].[date]" caption="date" attribute="1" defaultMemberUniqueName="[fact_weekly_demand_forecast].[date].[All]" allUniqueName="[fact_weekly_demand_forecast].[date].[All]" dimensionUniqueName="[fact_weekly_demand_forecast]" displayFolder="" count="0" memberValueDatatype="130" unbalanced="0"/>
    <cacheHierarchy uniqueName="[fact_weekly_demand_forecast].[predicted_weekly_sales]" caption="predicted_weekly_sales" attribute="1" defaultMemberUniqueName="[fact_weekly_demand_forecast].[predicted_weekly_sales].[All]" allUniqueName="[fact_weekly_demand_forecast].[predicted_weekly_sales].[All]" dimensionUniqueName="[fact_weekly_demand_forecast]" displayFolder="" count="0" memberValueDatatype="5" unbalanced="0"/>
    <cacheHierarchy uniqueName="[fact_weekly_demand_forecast].[date (Mês)]" caption="date (Mês)" attribute="1" defaultMemberUniqueName="[fact_weekly_demand_forecast].[date (Mês)].[All]" allUniqueName="[fact_weekly_demand_forecast].[date (Mês)].[All]" dimensionUniqueName="[fact_weekly_demand_forecast]" displayFolder="" count="0" memberValueDatatype="130" unbalanced="0"/>
    <cacheHierarchy uniqueName="[fact_weekly_demand_forecast].[date (Índice de Mês)]" caption="date (Índice de Mês)" attribute="1" defaultMemberUniqueName="[fact_weekly_demand_forecast].[date (Índice de Mês)].[All]" allUniqueName="[fact_weekly_demand_forecast].[date (Índice de Mês)].[All]" dimensionUniqueName="[fact_weekly_demand_forecast]" displayFolder="" count="0" memberValueDatatype="20" unbalanced="0" hidden="1"/>
    <cacheHierarchy uniqueName="[Measures].[__XL_Count abc_xyz_classification]" caption="__XL_Count abc_xyz_classification" measure="1" displayFolder="" measureGroup="abc_xyz_classification" count="0" hidden="1"/>
    <cacheHierarchy uniqueName="[Measures].[__XL_Count dim_products_inventory]" caption="__XL_Count dim_products_inventory" measure="1" displayFolder="" measureGroup="dim_products_inventory" count="0" hidden="1"/>
    <cacheHierarchy uniqueName="[Measures].[__XL_Count fact_weekly_demand_forecast]" caption="__XL_Count fact_weekly_demand_forecast" measure="1" displayFolder="" measureGroup="fact_weekly_demand_forecast" count="0" hidden="1"/>
    <cacheHierarchy uniqueName="[Measures].[__No measures defined]" caption="__No measures defined" measure="1" displayFolder="" count="0" hidden="1"/>
    <cacheHierarchy uniqueName="[Measures].[Soma de safety_stock]" caption="Soma de safety_stock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édia de safety_stock]" caption="Média de safety_stock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total_revenue]" caption="Soma de total_revenue" measure="1" displayFolder="" measureGroup="abc_xyz_classificatio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tem_id]" caption="Contagem de item_id" measure="1" displayFolder="" measureGroup="abc_xyz_classificat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reorder_point]" caption="Soma de reorder_point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édia de reorder_point]" caption="Média de reorder_point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lead_time_days]" caption="Soma de lead_time_days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Média de lead_time_days]" caption="Média de lead_time_days" measure="1" displayFolder="" measureGroup="dim_products_invento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predicted_weekly_sales]" caption="Soma de predicted_weekly_sales" measure="1" displayFolder="" measureGroup="fact_weekly_demand_forecas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3718209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99DCD-64C2-46FE-8519-D92D2D5B287F}" name="Tabela dinâmica4" cacheId="552" applyNumberFormats="0" applyBorderFormats="0" applyFontFormats="0" applyPatternFormats="0" applyAlignmentFormats="0" applyWidthHeightFormats="1" dataCaption="Valores" tag="1c803f9f-43c5-48fb-8b33-42249ad3032a" updatedVersion="8" minRefreshableVersion="3" useAutoFormatting="1" itemPrintTitles="1" createdVersion="8" indent="0" outline="1" outlineData="1" multipleFieldFilters="0" chartFormat="8">
  <location ref="I5:J58" firstHeaderRow="1" firstDataRow="1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52">
        <item x="2"/>
        <item x="0"/>
        <item x="1"/>
        <item x="3"/>
        <item x="5"/>
        <item x="6"/>
        <item x="4"/>
        <item x="7"/>
        <item x="8"/>
        <item x="9"/>
        <item x="10"/>
        <item x="11"/>
        <item x="12"/>
        <item x="13"/>
        <item x="14"/>
        <item x="15"/>
        <item x="16"/>
        <item x="20"/>
        <item x="17"/>
        <item x="18"/>
        <item x="19"/>
        <item x="22"/>
        <item x="23"/>
        <item x="24"/>
        <item x="25"/>
        <item x="21"/>
        <item x="26"/>
        <item x="27"/>
        <item x="28"/>
        <item x="29"/>
        <item x="31"/>
        <item x="33"/>
        <item x="30"/>
        <item x="32"/>
        <item x="35"/>
        <item x="36"/>
        <item x="37"/>
        <item x="38"/>
        <item x="34"/>
        <item x="40"/>
        <item x="41"/>
        <item x="39"/>
        <item x="42"/>
        <item x="46"/>
        <item x="43"/>
        <item x="44"/>
        <item x="45"/>
        <item x="48"/>
        <item x="49"/>
        <item x="50"/>
        <item x="51"/>
        <item x="47"/>
      </items>
    </pivotField>
    <pivotField allDrilled="1" subtotalTop="0" showAll="0" dataSourceSort="1" defaultSubtotal="0" defaultAttributeDrillState="1"/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oma de predicted_weekly_sales" fld="0" baseField="0" baseItem="0" numFmtId="176"/>
  </dataFields>
  <formats count="1">
    <format dxfId="99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weekly_demand_foreca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8FB54-34EA-44CF-9346-F90C146180DC}" name="Tabela dinâmica3" cacheId="549" applyNumberFormats="0" applyBorderFormats="0" applyFontFormats="0" applyPatternFormats="0" applyAlignmentFormats="0" applyWidthHeightFormats="1" dataCaption="Valores" tag="cd278cca-eb9d-43f8-b97c-e0d8f7925021" updatedVersion="8" minRefreshableVersion="3" useAutoFormatting="1" itemPrintTitles="1" createdVersion="8" indent="0" outline="1" outlineData="1" multipleFieldFilters="0" chartFormat="6">
  <location ref="D12:G16" firstHeaderRow="0" firstDataRow="1" firstDataCol="1"/>
  <pivotFields count="6"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safety_stock" fld="2" subtotal="average" baseField="0" baseItem="0"/>
    <dataField name="Média de reorder_point" fld="3" subtotal="average" baseField="0" baseItem="0"/>
    <dataField name="Média de lead_time_days" fld="4" subtotal="average" baseField="0" baseItem="0"/>
  </dataFields>
  <formats count="8">
    <format dxfId="10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6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105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04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103">
      <pivotArea collapsedLevelsAreSubtotals="1" fieldPosition="0">
        <references count="2">
          <reference field="4294967294" count="1" selected="0">
            <x v="1"/>
          </reference>
          <reference field="1" count="1">
            <x v="2"/>
          </reference>
        </references>
      </pivotArea>
    </format>
    <format dxfId="10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0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0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édia de safety_stock"/>
    <pivotHierarchy dragToData="1"/>
    <pivotHierarchy dragToData="1"/>
    <pivotHierarchy dragToData="1"/>
    <pivotHierarchy dragToData="1" caption="Média de reorder_point"/>
    <pivotHierarchy dragToData="1"/>
    <pivotHierarchy dragToData="1" caption="Média de lead_time_days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_inven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CE921-874D-423E-9FB3-066EA071E05E}" name="Tabela dinâmica2" cacheId="546" applyNumberFormats="0" applyBorderFormats="0" applyFontFormats="0" applyPatternFormats="0" applyAlignmentFormats="0" applyWidthHeightFormats="1" dataCaption="Valores" tag="7608d5d8-c96c-4c0b-91f7-61f13fbf403f" updatedVersion="8" minRefreshableVersion="3" useAutoFormatting="1" itemPrintTitles="1" createdVersion="8" indent="0" outline="1" outlineData="1" multipleFieldFilters="0" chartFormat="9">
  <location ref="D5:F9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_revenue" fld="1" baseField="0" baseItem="0" numFmtId="165"/>
    <dataField name="Contagem de item_id" fld="2" subtotal="count" baseField="0" baseItem="0"/>
  </dataFields>
  <chartFormats count="5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bc_xyz_classific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atriz_abc_xyz" xr10:uid="{20151B61-F0B0-4600-87EB-CE50AE2854E8}" sourceName="[abc_xyz_classification].[matriz_abc_xyz]">
  <pivotTables>
    <pivotTable tabId="3" name="Tabela dinâmica2"/>
    <pivotTable tabId="3" name="Tabela dinâmica3"/>
    <pivotTable tabId="3" name="Tabela dinâmica4"/>
  </pivotTables>
  <data>
    <olap pivotCacheId="537182091">
      <levels count="2">
        <level uniqueName="[abc_xyz_classification].[matriz_abc_xyz].[(All)]" sourceCaption="(All)" count="0"/>
        <level uniqueName="[abc_xyz_classification].[matriz_abc_xyz].[matriz_abc_xyz]" sourceCaption="matriz_abc_xyz" count="3">
          <ranges>
            <range startItem="0">
              <i n="[abc_xyz_classification].[matriz_abc_xyz].&amp;[AY]" c="AY"/>
              <i n="[abc_xyz_classification].[matriz_abc_xyz].&amp;[BY]" c="BY"/>
              <i n="[abc_xyz_classification].[matriz_abc_xyz].&amp;[CY]" c="CY"/>
            </range>
          </ranges>
        </level>
      </levels>
      <selections count="1">
        <selection n="[abc_xyz_classification].[matriz_abc_xyz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ass_abc" xr10:uid="{C426BBCC-5049-44E1-A4A0-5A437A093889}" sourceName="[abc_xyz_classification].[class_abc]">
  <pivotTables>
    <pivotTable tabId="3" name="Tabela dinâmica2"/>
    <pivotTable tabId="3" name="Tabela dinâmica3"/>
    <pivotTable tabId="3" name="Tabela dinâmica4"/>
  </pivotTables>
  <data>
    <olap pivotCacheId="537182091">
      <levels count="2">
        <level uniqueName="[abc_xyz_classification].[class_abc].[(All)]" sourceCaption="(All)" count="0"/>
        <level uniqueName="[abc_xyz_classification].[class_abc].[class_abc]" sourceCaption="class_abc" count="3">
          <ranges>
            <range startItem="0">
              <i n="[abc_xyz_classification].[class_abc].&amp;[A]" c="A"/>
              <i n="[abc_xyz_classification].[class_abc].&amp;[B]" c="B"/>
              <i n="[abc_xyz_classification].[class_abc].&amp;[C]" c="C"/>
            </range>
          </ranges>
        </level>
      </levels>
      <selections count="1">
        <selection n="[abc_xyz_classification].[class_abc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triz_abc_xyz" xr10:uid="{2701A83A-EB84-42F5-B067-AA8BACE896C4}" cache="SegmentaçãodeDados_matriz_abc_xyz" caption="matriz_abc_xyz" level="1" rowHeight="247650"/>
  <slicer name="class_abc" xr10:uid="{1B69B2B8-0DC0-405F-B4E2-AEA65E55E2DA}" cache="SegmentaçãodeDados_class_abc" caption="class_abc" level="1" rowHeight="2476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1F65-1E60-498D-99F8-C5018E7AC419}">
  <dimension ref="A1"/>
  <sheetViews>
    <sheetView workbookViewId="0">
      <selection activeCell="A2" sqref="A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25F0-52DF-4545-8E01-9AAD77313CE1}">
  <dimension ref="A1:Q52"/>
  <sheetViews>
    <sheetView tabSelected="1" topLeftCell="A16" zoomScale="75" zoomScaleNormal="75" workbookViewId="0">
      <selection activeCell="R1" sqref="R1:XFD52"/>
    </sheetView>
  </sheetViews>
  <sheetFormatPr defaultRowHeight="14.4" x14ac:dyDescent="0.3"/>
  <cols>
    <col min="1" max="4" width="8.88671875" style="17"/>
    <col min="5" max="5" width="16.77734375" style="17" bestFit="1" customWidth="1"/>
    <col min="6" max="6" width="20" style="17" bestFit="1" customWidth="1"/>
    <col min="7" max="7" width="18.77734375" style="17" bestFit="1" customWidth="1"/>
    <col min="8" max="16384" width="8.88671875" style="17"/>
  </cols>
  <sheetData>
    <row r="1" spans="1:17" s="35" customForma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38"/>
      <c r="O1" s="38"/>
      <c r="P1" s="38"/>
      <c r="Q1" s="38"/>
    </row>
    <row r="2" spans="1:17" s="35" customForma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8"/>
      <c r="O2" s="38"/>
      <c r="P2" s="38"/>
      <c r="Q2" s="38"/>
    </row>
    <row r="3" spans="1:17" s="35" customForma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38"/>
      <c r="O3" s="38"/>
      <c r="P3" s="38"/>
      <c r="Q3" s="38"/>
    </row>
    <row r="4" spans="1:17" s="35" customFormat="1" x14ac:dyDescent="0.3">
      <c r="N4" s="38"/>
      <c r="O4" s="38"/>
      <c r="P4" s="38"/>
      <c r="Q4" s="38"/>
    </row>
    <row r="5" spans="1:17" s="35" customFormat="1" x14ac:dyDescent="0.3">
      <c r="B5" s="18" t="s">
        <v>66</v>
      </c>
      <c r="C5" s="19"/>
      <c r="D5" s="20"/>
      <c r="E5" s="21" t="s">
        <v>69</v>
      </c>
      <c r="F5" s="19"/>
      <c r="G5" s="20"/>
      <c r="H5" s="21" t="s">
        <v>67</v>
      </c>
      <c r="I5" s="19"/>
      <c r="J5" s="20"/>
      <c r="K5" s="21" t="s">
        <v>68</v>
      </c>
      <c r="L5" s="19"/>
      <c r="M5" s="22"/>
      <c r="N5" s="38"/>
      <c r="O5" s="38"/>
      <c r="P5" s="38"/>
      <c r="Q5" s="38"/>
    </row>
    <row r="6" spans="1:17" s="35" customFormat="1" x14ac:dyDescent="0.3">
      <c r="B6" s="23">
        <f>GETPIVOTDATA("[Measures].[Soma de total_revenue]",'2.Cálculos Auxiliares'!$D$5)</f>
        <v>7107707527.7600021</v>
      </c>
      <c r="C6" s="9"/>
      <c r="D6" s="10"/>
      <c r="E6" s="14">
        <v>0.92449999999999999</v>
      </c>
      <c r="F6" s="15"/>
      <c r="G6" s="16"/>
      <c r="H6" s="11">
        <f>GETPIVOTDATA("[Measures].[Contagem de item_id]",'2.Cálculos Auxiliares'!$D$5)</f>
        <v>50</v>
      </c>
      <c r="I6" s="12"/>
      <c r="J6" s="13"/>
      <c r="K6" s="11">
        <f>GETPIVOTDATA("[Measures].[Média de safety_stock]",'2.Cálculos Auxiliares'!$D$12)</f>
        <v>43.3</v>
      </c>
      <c r="L6" s="12"/>
      <c r="M6" s="24"/>
      <c r="N6" s="38"/>
      <c r="O6" s="38"/>
      <c r="P6" s="38"/>
      <c r="Q6" s="38"/>
    </row>
    <row r="7" spans="1:17" s="35" customFormat="1" x14ac:dyDescent="0.3">
      <c r="B7" s="25"/>
      <c r="C7" s="26"/>
      <c r="D7" s="27"/>
      <c r="E7" s="28"/>
      <c r="F7" s="29"/>
      <c r="G7" s="30"/>
      <c r="H7" s="31"/>
      <c r="I7" s="32"/>
      <c r="J7" s="33"/>
      <c r="K7" s="31"/>
      <c r="L7" s="32"/>
      <c r="M7" s="34"/>
      <c r="N7" s="38"/>
      <c r="O7" s="38"/>
      <c r="P7" s="38"/>
      <c r="Q7" s="38"/>
    </row>
    <row r="8" spans="1:17" s="35" customFormat="1" x14ac:dyDescent="0.3"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/>
      <c r="O8" s="38"/>
      <c r="P8" s="38"/>
      <c r="Q8" s="38"/>
    </row>
    <row r="9" spans="1:17" s="35" customFormat="1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8"/>
      <c r="O9" s="38"/>
      <c r="P9" s="38"/>
      <c r="Q9" s="38"/>
    </row>
    <row r="10" spans="1:17" s="35" customForma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8"/>
      <c r="O10" s="38"/>
      <c r="P10" s="38"/>
      <c r="Q10" s="38"/>
    </row>
    <row r="11" spans="1:17" s="35" customFormat="1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  <c r="O11" s="38"/>
      <c r="P11" s="38"/>
      <c r="Q11" s="38"/>
    </row>
    <row r="12" spans="1:17" s="35" customFormat="1" x14ac:dyDescent="0.3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/>
      <c r="O12" s="38"/>
      <c r="P12" s="38"/>
      <c r="Q12" s="38"/>
    </row>
    <row r="13" spans="1:17" s="35" customFormat="1" x14ac:dyDescent="0.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8"/>
      <c r="O13" s="38"/>
      <c r="P13" s="38"/>
      <c r="Q13" s="38"/>
    </row>
    <row r="14" spans="1:17" s="35" customForma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  <c r="O14" s="38"/>
      <c r="P14" s="38"/>
      <c r="Q14" s="38"/>
    </row>
    <row r="15" spans="1:17" s="35" customForma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8"/>
      <c r="O15" s="38"/>
      <c r="P15" s="38"/>
      <c r="Q15" s="38"/>
    </row>
    <row r="16" spans="1:17" s="35" customFormat="1" x14ac:dyDescent="0.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/>
      <c r="O16" s="38"/>
      <c r="P16" s="38"/>
      <c r="Q16" s="38"/>
    </row>
    <row r="17" spans="1:17" s="35" customFormat="1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  <c r="O17" s="38"/>
      <c r="P17" s="38"/>
      <c r="Q17" s="38"/>
    </row>
    <row r="18" spans="1:17" s="35" customFormat="1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8"/>
      <c r="O18" s="38"/>
      <c r="P18" s="38"/>
      <c r="Q18" s="38"/>
    </row>
    <row r="19" spans="1:17" s="35" customFormat="1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8"/>
      <c r="O19" s="38"/>
      <c r="P19" s="38"/>
      <c r="Q19" s="38"/>
    </row>
    <row r="20" spans="1:17" s="35" customFormat="1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  <c r="O20" s="38"/>
      <c r="P20" s="38"/>
      <c r="Q20" s="38"/>
    </row>
    <row r="21" spans="1:17" s="35" customFormat="1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8"/>
      <c r="O21" s="38"/>
      <c r="P21" s="38"/>
      <c r="Q21" s="38"/>
    </row>
    <row r="22" spans="1:17" s="35" customFormat="1" x14ac:dyDescent="0.3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8"/>
      <c r="O22" s="38"/>
      <c r="P22" s="38"/>
      <c r="Q22" s="38"/>
    </row>
    <row r="23" spans="1:17" s="35" customFormat="1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8"/>
      <c r="O23" s="38"/>
      <c r="P23" s="38"/>
      <c r="Q23" s="38"/>
    </row>
    <row r="24" spans="1:17" s="35" customFormat="1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8"/>
      <c r="O24" s="38"/>
      <c r="P24" s="38"/>
      <c r="Q24" s="38"/>
    </row>
    <row r="25" spans="1:17" s="35" customFormat="1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8"/>
      <c r="O25" s="38"/>
      <c r="P25" s="38"/>
      <c r="Q25" s="38"/>
    </row>
    <row r="26" spans="1:17" s="35" customFormat="1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8"/>
      <c r="O26" s="38"/>
      <c r="P26" s="38"/>
      <c r="Q26" s="38"/>
    </row>
    <row r="27" spans="1:17" s="35" customFormat="1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8"/>
      <c r="O27" s="38"/>
      <c r="P27" s="38"/>
      <c r="Q27" s="38"/>
    </row>
    <row r="28" spans="1:17" s="35" customFormat="1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8"/>
      <c r="O28" s="38"/>
      <c r="P28" s="38"/>
      <c r="Q28" s="38"/>
    </row>
    <row r="29" spans="1:17" s="35" customFormat="1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8"/>
      <c r="O29" s="38"/>
      <c r="P29" s="38"/>
      <c r="Q29" s="38"/>
    </row>
    <row r="30" spans="1:17" s="35" customFormat="1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8"/>
      <c r="O30" s="38"/>
      <c r="P30" s="38"/>
      <c r="Q30" s="38"/>
    </row>
    <row r="31" spans="1:17" s="35" customFormat="1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8"/>
      <c r="O31" s="38"/>
      <c r="P31" s="38"/>
      <c r="Q31" s="38"/>
    </row>
    <row r="32" spans="1:17" s="35" customFormat="1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8"/>
      <c r="O32" s="38"/>
      <c r="P32" s="38"/>
      <c r="Q32" s="38"/>
    </row>
    <row r="33" spans="1:17" s="35" customFormat="1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8"/>
      <c r="O33" s="38"/>
      <c r="P33" s="38"/>
      <c r="Q33" s="38"/>
    </row>
    <row r="34" spans="1:17" s="35" customFormat="1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8"/>
      <c r="O34" s="38"/>
      <c r="P34" s="38"/>
      <c r="Q34" s="38"/>
    </row>
    <row r="35" spans="1:17" s="35" customFormat="1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8"/>
      <c r="O35" s="38"/>
      <c r="P35" s="38"/>
      <c r="Q35" s="38"/>
    </row>
    <row r="36" spans="1:17" s="35" customFormat="1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8"/>
      <c r="O36" s="38"/>
      <c r="P36" s="38"/>
      <c r="Q36" s="38"/>
    </row>
    <row r="37" spans="1:17" s="35" customFormat="1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8"/>
      <c r="O37" s="38"/>
      <c r="P37" s="38"/>
      <c r="Q37" s="38"/>
    </row>
    <row r="38" spans="1:17" s="35" customFormat="1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8"/>
      <c r="O38" s="38"/>
      <c r="P38" s="38"/>
      <c r="Q38" s="38"/>
    </row>
    <row r="39" spans="1:17" s="35" customFormat="1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8"/>
      <c r="O39" s="38"/>
      <c r="P39" s="38"/>
      <c r="Q39" s="38"/>
    </row>
    <row r="40" spans="1:17" s="35" customFormat="1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8"/>
      <c r="O40" s="38"/>
      <c r="P40" s="38"/>
      <c r="Q40" s="38"/>
    </row>
    <row r="41" spans="1:17" s="35" customFormat="1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8"/>
      <c r="O41" s="38"/>
      <c r="P41" s="38"/>
      <c r="Q41" s="38"/>
    </row>
    <row r="42" spans="1:17" s="35" customFormat="1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8"/>
      <c r="O42" s="38"/>
      <c r="P42" s="38"/>
      <c r="Q42" s="38"/>
    </row>
    <row r="43" spans="1:17" s="35" customFormat="1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8"/>
      <c r="O43" s="38"/>
      <c r="P43" s="38"/>
      <c r="Q43" s="38"/>
    </row>
    <row r="44" spans="1:17" s="35" customFormat="1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8"/>
      <c r="O44" s="38"/>
      <c r="P44" s="38"/>
      <c r="Q44" s="38"/>
    </row>
    <row r="45" spans="1:17" s="35" customFormat="1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8"/>
      <c r="O45" s="38"/>
      <c r="P45" s="38"/>
      <c r="Q45" s="38"/>
    </row>
    <row r="46" spans="1:17" s="35" customFormat="1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8"/>
      <c r="O46" s="38"/>
      <c r="P46" s="38"/>
      <c r="Q46" s="38"/>
    </row>
    <row r="47" spans="1:17" s="35" customFormat="1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8"/>
      <c r="O47" s="38"/>
      <c r="P47" s="38"/>
      <c r="Q47" s="38"/>
    </row>
    <row r="48" spans="1:17" s="35" customFormat="1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8"/>
      <c r="O48" s="38"/>
      <c r="P48" s="38"/>
      <c r="Q48" s="38"/>
    </row>
    <row r="49" spans="1:17" s="35" customFormat="1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8"/>
      <c r="O49" s="38"/>
      <c r="P49" s="38"/>
      <c r="Q49" s="38"/>
    </row>
    <row r="50" spans="1:17" s="35" customFormat="1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8"/>
      <c r="O50" s="38"/>
      <c r="P50" s="38"/>
      <c r="Q50" s="38"/>
    </row>
    <row r="51" spans="1:17" s="35" customFormat="1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8"/>
      <c r="O51" s="38"/>
      <c r="P51" s="38"/>
      <c r="Q51" s="38"/>
    </row>
    <row r="52" spans="1:17" s="35" customFormat="1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8"/>
      <c r="O52" s="38"/>
      <c r="P52" s="38"/>
      <c r="Q52" s="38"/>
    </row>
  </sheetData>
  <mergeCells count="14">
    <mergeCell ref="A53:XFD1048576"/>
    <mergeCell ref="R1:XFD52"/>
    <mergeCell ref="N1:Q52"/>
    <mergeCell ref="A4:M4"/>
    <mergeCell ref="A5:A8"/>
    <mergeCell ref="B8:M8"/>
    <mergeCell ref="H6:J7"/>
    <mergeCell ref="K5:M5"/>
    <mergeCell ref="K6:M7"/>
    <mergeCell ref="E5:G5"/>
    <mergeCell ref="E6:G7"/>
    <mergeCell ref="B5:D5"/>
    <mergeCell ref="B6:D7"/>
    <mergeCell ref="H5:J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F9FB-3B95-46F4-8916-2410FF67FC9C}">
  <dimension ref="D1:J110"/>
  <sheetViews>
    <sheetView topLeftCell="B1" workbookViewId="0">
      <selection activeCell="D12" sqref="D12"/>
    </sheetView>
  </sheetViews>
  <sheetFormatPr defaultRowHeight="14.4" x14ac:dyDescent="0.3"/>
  <cols>
    <col min="4" max="4" width="16.77734375" bestFit="1" customWidth="1"/>
    <col min="5" max="5" width="19.44140625" bestFit="1" customWidth="1"/>
    <col min="6" max="6" width="20.33203125" bestFit="1" customWidth="1"/>
    <col min="7" max="7" width="22.21875" bestFit="1" customWidth="1"/>
    <col min="9" max="9" width="16.77734375" bestFit="1" customWidth="1"/>
    <col min="10" max="10" width="28.88671875" style="5" bestFit="1" customWidth="1"/>
    <col min="11" max="11" width="3.44140625" bestFit="1" customWidth="1"/>
    <col min="12" max="12" width="4.33203125" bestFit="1" customWidth="1"/>
    <col min="13" max="13" width="3.77734375" bestFit="1" customWidth="1"/>
    <col min="14" max="14" width="4.21875" bestFit="1" customWidth="1"/>
    <col min="15" max="15" width="3.5546875" bestFit="1" customWidth="1"/>
    <col min="16" max="16" width="3.109375" bestFit="1" customWidth="1"/>
    <col min="17" max="17" width="3.88671875" bestFit="1" customWidth="1"/>
    <col min="18" max="18" width="3.5546875" bestFit="1" customWidth="1"/>
    <col min="19" max="19" width="3.6640625" bestFit="1" customWidth="1"/>
    <col min="20" max="20" width="3.88671875" bestFit="1" customWidth="1"/>
    <col min="21" max="21" width="4" bestFit="1" customWidth="1"/>
    <col min="22" max="22" width="10" bestFit="1" customWidth="1"/>
    <col min="23" max="60" width="18.109375" bestFit="1" customWidth="1"/>
    <col min="61" max="61" width="10" bestFit="1" customWidth="1"/>
  </cols>
  <sheetData>
    <row r="1" spans="4:10" x14ac:dyDescent="0.3">
      <c r="J1"/>
    </row>
    <row r="2" spans="4:10" x14ac:dyDescent="0.3">
      <c r="J2"/>
    </row>
    <row r="3" spans="4:10" x14ac:dyDescent="0.3">
      <c r="J3"/>
    </row>
    <row r="4" spans="4:10" x14ac:dyDescent="0.3">
      <c r="J4"/>
    </row>
    <row r="5" spans="4:10" x14ac:dyDescent="0.3">
      <c r="D5" s="1" t="s">
        <v>0</v>
      </c>
      <c r="E5" t="s">
        <v>6</v>
      </c>
      <c r="F5" t="s">
        <v>10</v>
      </c>
      <c r="I5" s="1" t="s">
        <v>0</v>
      </c>
      <c r="J5" t="s">
        <v>13</v>
      </c>
    </row>
    <row r="6" spans="4:10" x14ac:dyDescent="0.3">
      <c r="D6" s="2" t="s">
        <v>7</v>
      </c>
      <c r="E6" s="4">
        <v>5684053622.8599997</v>
      </c>
      <c r="F6" s="3">
        <v>33</v>
      </c>
      <c r="I6" s="2" t="s">
        <v>14</v>
      </c>
      <c r="J6" s="7">
        <v>599521</v>
      </c>
    </row>
    <row r="7" spans="4:10" x14ac:dyDescent="0.3">
      <c r="D7" s="2" t="s">
        <v>8</v>
      </c>
      <c r="E7" s="4">
        <v>1023293366.9499999</v>
      </c>
      <c r="F7" s="3">
        <v>11</v>
      </c>
      <c r="I7" s="2" t="s">
        <v>15</v>
      </c>
      <c r="J7" s="7">
        <v>622736</v>
      </c>
    </row>
    <row r="8" spans="4:10" x14ac:dyDescent="0.3">
      <c r="D8" s="2" t="s">
        <v>9</v>
      </c>
      <c r="E8" s="4">
        <v>400360537.95000005</v>
      </c>
      <c r="F8" s="3">
        <v>6</v>
      </c>
      <c r="I8" s="2" t="s">
        <v>16</v>
      </c>
      <c r="J8" s="7">
        <v>643459</v>
      </c>
    </row>
    <row r="9" spans="4:10" x14ac:dyDescent="0.3">
      <c r="D9" s="2" t="s">
        <v>1</v>
      </c>
      <c r="E9" s="4">
        <v>7107707527.7600021</v>
      </c>
      <c r="F9" s="3">
        <v>50</v>
      </c>
      <c r="I9" s="2" t="s">
        <v>17</v>
      </c>
      <c r="J9" s="7">
        <v>664620</v>
      </c>
    </row>
    <row r="10" spans="4:10" x14ac:dyDescent="0.3">
      <c r="I10" s="2" t="s">
        <v>18</v>
      </c>
      <c r="J10" s="7">
        <v>684224</v>
      </c>
    </row>
    <row r="11" spans="4:10" x14ac:dyDescent="0.3">
      <c r="I11" s="2" t="s">
        <v>19</v>
      </c>
      <c r="J11" s="7">
        <v>702520</v>
      </c>
    </row>
    <row r="12" spans="4:10" x14ac:dyDescent="0.3">
      <c r="D12" s="1" t="s">
        <v>0</v>
      </c>
      <c r="E12" t="s">
        <v>5</v>
      </c>
      <c r="F12" t="s">
        <v>11</v>
      </c>
      <c r="G12" t="s">
        <v>12</v>
      </c>
      <c r="I12" s="2" t="s">
        <v>20</v>
      </c>
      <c r="J12" s="7">
        <v>721680</v>
      </c>
    </row>
    <row r="13" spans="4:10" x14ac:dyDescent="0.3">
      <c r="D13" s="2" t="s">
        <v>2</v>
      </c>
      <c r="E13" s="6">
        <v>52.363636363636367</v>
      </c>
      <c r="F13" s="6">
        <v>301.969696969697</v>
      </c>
      <c r="G13" s="3">
        <v>7</v>
      </c>
      <c r="I13" s="2" t="s">
        <v>21</v>
      </c>
      <c r="J13" s="7">
        <v>737301</v>
      </c>
    </row>
    <row r="14" spans="4:10" x14ac:dyDescent="0.3">
      <c r="D14" s="2" t="s">
        <v>3</v>
      </c>
      <c r="E14" s="6">
        <v>27.90909090909091</v>
      </c>
      <c r="F14" s="3">
        <v>215</v>
      </c>
      <c r="G14" s="3">
        <v>10</v>
      </c>
      <c r="I14" s="2" t="s">
        <v>22</v>
      </c>
      <c r="J14" s="7">
        <v>751677</v>
      </c>
    </row>
    <row r="15" spans="4:10" x14ac:dyDescent="0.3">
      <c r="D15" s="2" t="s">
        <v>4</v>
      </c>
      <c r="E15" s="6">
        <v>21.666666666666668</v>
      </c>
      <c r="F15" s="6">
        <v>216.5</v>
      </c>
      <c r="G15" s="3">
        <v>14</v>
      </c>
      <c r="I15" s="2" t="s">
        <v>23</v>
      </c>
      <c r="J15" s="7">
        <v>763353</v>
      </c>
    </row>
    <row r="16" spans="4:10" x14ac:dyDescent="0.3">
      <c r="D16" s="2" t="s">
        <v>1</v>
      </c>
      <c r="E16" s="6">
        <v>43.3</v>
      </c>
      <c r="F16" s="6">
        <v>272.58</v>
      </c>
      <c r="G16" s="6">
        <v>8.5</v>
      </c>
      <c r="I16" s="2" t="s">
        <v>24</v>
      </c>
      <c r="J16" s="7">
        <v>773514</v>
      </c>
    </row>
    <row r="17" spans="9:10" x14ac:dyDescent="0.3">
      <c r="I17" s="2" t="s">
        <v>25</v>
      </c>
      <c r="J17" s="7">
        <v>782032</v>
      </c>
    </row>
    <row r="18" spans="9:10" x14ac:dyDescent="0.3">
      <c r="I18" s="2" t="s">
        <v>26</v>
      </c>
      <c r="J18" s="7">
        <v>787747</v>
      </c>
    </row>
    <row r="19" spans="9:10" x14ac:dyDescent="0.3">
      <c r="I19" s="2" t="s">
        <v>27</v>
      </c>
      <c r="J19" s="7">
        <v>791350</v>
      </c>
    </row>
    <row r="20" spans="9:10" x14ac:dyDescent="0.3">
      <c r="I20" s="2" t="s">
        <v>28</v>
      </c>
      <c r="J20" s="7">
        <v>792434</v>
      </c>
    </row>
    <row r="21" spans="9:10" x14ac:dyDescent="0.3">
      <c r="I21" s="2" t="s">
        <v>29</v>
      </c>
      <c r="J21" s="7">
        <v>791965</v>
      </c>
    </row>
    <row r="22" spans="9:10" x14ac:dyDescent="0.3">
      <c r="I22" s="2" t="s">
        <v>30</v>
      </c>
      <c r="J22" s="7">
        <v>788888</v>
      </c>
    </row>
    <row r="23" spans="9:10" x14ac:dyDescent="0.3">
      <c r="I23" s="2" t="s">
        <v>31</v>
      </c>
      <c r="J23" s="7">
        <v>784281</v>
      </c>
    </row>
    <row r="24" spans="9:10" x14ac:dyDescent="0.3">
      <c r="I24" s="2" t="s">
        <v>32</v>
      </c>
      <c r="J24" s="7">
        <v>777648</v>
      </c>
    </row>
    <row r="25" spans="9:10" x14ac:dyDescent="0.3">
      <c r="I25" s="2" t="s">
        <v>33</v>
      </c>
      <c r="J25" s="7">
        <v>767472</v>
      </c>
    </row>
    <row r="26" spans="9:10" x14ac:dyDescent="0.3">
      <c r="I26" s="2" t="s">
        <v>34</v>
      </c>
      <c r="J26" s="7">
        <v>758590</v>
      </c>
    </row>
    <row r="27" spans="9:10" x14ac:dyDescent="0.3">
      <c r="I27" s="2" t="s">
        <v>35</v>
      </c>
      <c r="J27" s="7">
        <v>746291</v>
      </c>
    </row>
    <row r="28" spans="9:10" x14ac:dyDescent="0.3">
      <c r="I28" s="2" t="s">
        <v>36</v>
      </c>
      <c r="J28" s="7">
        <v>733320</v>
      </c>
    </row>
    <row r="29" spans="9:10" x14ac:dyDescent="0.3">
      <c r="I29" s="2" t="s">
        <v>37</v>
      </c>
      <c r="J29" s="7">
        <v>719814</v>
      </c>
    </row>
    <row r="30" spans="9:10" x14ac:dyDescent="0.3">
      <c r="I30" s="2" t="s">
        <v>38</v>
      </c>
      <c r="J30" s="7">
        <v>705504</v>
      </c>
    </row>
    <row r="31" spans="9:10" x14ac:dyDescent="0.3">
      <c r="I31" s="2" t="s">
        <v>39</v>
      </c>
      <c r="J31" s="7">
        <v>692394</v>
      </c>
    </row>
    <row r="32" spans="9:10" x14ac:dyDescent="0.3">
      <c r="I32" s="2" t="s">
        <v>40</v>
      </c>
      <c r="J32" s="7">
        <v>677954</v>
      </c>
    </row>
    <row r="33" spans="9:10" x14ac:dyDescent="0.3">
      <c r="I33" s="2" t="s">
        <v>41</v>
      </c>
      <c r="J33" s="7">
        <v>663908</v>
      </c>
    </row>
    <row r="34" spans="9:10" x14ac:dyDescent="0.3">
      <c r="I34" s="2" t="s">
        <v>42</v>
      </c>
      <c r="J34" s="7">
        <v>650040</v>
      </c>
    </row>
    <row r="35" spans="9:10" x14ac:dyDescent="0.3">
      <c r="I35" s="2" t="s">
        <v>43</v>
      </c>
      <c r="J35" s="7">
        <v>637365</v>
      </c>
    </row>
    <row r="36" spans="9:10" x14ac:dyDescent="0.3">
      <c r="I36" s="2" t="s">
        <v>44</v>
      </c>
      <c r="J36" s="7">
        <v>624933</v>
      </c>
    </row>
    <row r="37" spans="9:10" x14ac:dyDescent="0.3">
      <c r="I37" s="2" t="s">
        <v>45</v>
      </c>
      <c r="J37" s="7">
        <v>614677</v>
      </c>
    </row>
    <row r="38" spans="9:10" x14ac:dyDescent="0.3">
      <c r="I38" s="2" t="s">
        <v>46</v>
      </c>
      <c r="J38" s="7">
        <v>605675</v>
      </c>
    </row>
    <row r="39" spans="9:10" x14ac:dyDescent="0.3">
      <c r="I39" s="2" t="s">
        <v>47</v>
      </c>
      <c r="J39" s="7">
        <v>598114</v>
      </c>
    </row>
    <row r="40" spans="9:10" x14ac:dyDescent="0.3">
      <c r="I40" s="2" t="s">
        <v>48</v>
      </c>
      <c r="J40" s="7">
        <v>592437</v>
      </c>
    </row>
    <row r="41" spans="9:10" x14ac:dyDescent="0.3">
      <c r="I41" s="2" t="s">
        <v>49</v>
      </c>
      <c r="J41" s="7">
        <v>589039</v>
      </c>
    </row>
    <row r="42" spans="9:10" x14ac:dyDescent="0.3">
      <c r="I42" s="2" t="s">
        <v>50</v>
      </c>
      <c r="J42" s="7">
        <v>587319</v>
      </c>
    </row>
    <row r="43" spans="9:10" x14ac:dyDescent="0.3">
      <c r="I43" s="2" t="s">
        <v>51</v>
      </c>
      <c r="J43" s="7">
        <v>588689</v>
      </c>
    </row>
    <row r="44" spans="9:10" x14ac:dyDescent="0.3">
      <c r="I44" s="2" t="s">
        <v>52</v>
      </c>
      <c r="J44" s="7">
        <v>591266</v>
      </c>
    </row>
    <row r="45" spans="9:10" x14ac:dyDescent="0.3">
      <c r="I45" s="2" t="s">
        <v>53</v>
      </c>
      <c r="J45" s="7">
        <v>595826</v>
      </c>
    </row>
    <row r="46" spans="9:10" x14ac:dyDescent="0.3">
      <c r="I46" s="2" t="s">
        <v>54</v>
      </c>
      <c r="J46" s="7">
        <v>603466</v>
      </c>
    </row>
    <row r="47" spans="9:10" x14ac:dyDescent="0.3">
      <c r="I47" s="2" t="s">
        <v>55</v>
      </c>
      <c r="J47" s="7">
        <v>613435</v>
      </c>
    </row>
    <row r="48" spans="9:10" x14ac:dyDescent="0.3">
      <c r="I48" s="2" t="s">
        <v>56</v>
      </c>
      <c r="J48" s="7">
        <v>624196</v>
      </c>
    </row>
    <row r="49" spans="9:10" x14ac:dyDescent="0.3">
      <c r="I49" s="2" t="s">
        <v>57</v>
      </c>
      <c r="J49" s="7">
        <v>637954</v>
      </c>
    </row>
    <row r="50" spans="9:10" x14ac:dyDescent="0.3">
      <c r="I50" s="2" t="s">
        <v>58</v>
      </c>
      <c r="J50" s="7">
        <v>652743</v>
      </c>
    </row>
    <row r="51" spans="9:10" x14ac:dyDescent="0.3">
      <c r="I51" s="2" t="s">
        <v>59</v>
      </c>
      <c r="J51" s="7">
        <v>670076</v>
      </c>
    </row>
    <row r="52" spans="9:10" x14ac:dyDescent="0.3">
      <c r="I52" s="2" t="s">
        <v>60</v>
      </c>
      <c r="J52" s="7">
        <v>687669</v>
      </c>
    </row>
    <row r="53" spans="9:10" x14ac:dyDescent="0.3">
      <c r="I53" s="2" t="s">
        <v>61</v>
      </c>
      <c r="J53" s="7">
        <v>707427</v>
      </c>
    </row>
    <row r="54" spans="9:10" x14ac:dyDescent="0.3">
      <c r="I54" s="2" t="s">
        <v>62</v>
      </c>
      <c r="J54" s="7">
        <v>728103</v>
      </c>
    </row>
    <row r="55" spans="9:10" x14ac:dyDescent="0.3">
      <c r="I55" s="2" t="s">
        <v>63</v>
      </c>
      <c r="J55" s="7">
        <v>749507</v>
      </c>
    </row>
    <row r="56" spans="9:10" x14ac:dyDescent="0.3">
      <c r="I56" s="2" t="s">
        <v>64</v>
      </c>
      <c r="J56" s="7">
        <v>771903</v>
      </c>
    </row>
    <row r="57" spans="9:10" x14ac:dyDescent="0.3">
      <c r="I57" s="2" t="s">
        <v>65</v>
      </c>
      <c r="J57" s="7">
        <v>784430</v>
      </c>
    </row>
    <row r="58" spans="9:10" x14ac:dyDescent="0.3">
      <c r="I58" s="2" t="s">
        <v>1</v>
      </c>
      <c r="J58" s="7">
        <v>35932486</v>
      </c>
    </row>
    <row r="59" spans="9:10" x14ac:dyDescent="0.3">
      <c r="J59"/>
    </row>
    <row r="60" spans="9:10" x14ac:dyDescent="0.3">
      <c r="J60"/>
    </row>
    <row r="61" spans="9:10" x14ac:dyDescent="0.3">
      <c r="J61"/>
    </row>
    <row r="62" spans="9:10" x14ac:dyDescent="0.3">
      <c r="J62"/>
    </row>
    <row r="63" spans="9:10" x14ac:dyDescent="0.3">
      <c r="J63"/>
    </row>
    <row r="64" spans="9:10" x14ac:dyDescent="0.3">
      <c r="J64"/>
    </row>
    <row r="65" spans="10:10" x14ac:dyDescent="0.3">
      <c r="J65"/>
    </row>
    <row r="66" spans="10:10" x14ac:dyDescent="0.3">
      <c r="J66"/>
    </row>
    <row r="67" spans="10:10" x14ac:dyDescent="0.3">
      <c r="J67"/>
    </row>
    <row r="68" spans="10:10" x14ac:dyDescent="0.3">
      <c r="J68"/>
    </row>
    <row r="69" spans="10:10" x14ac:dyDescent="0.3">
      <c r="J69"/>
    </row>
    <row r="70" spans="10:10" x14ac:dyDescent="0.3">
      <c r="J70"/>
    </row>
    <row r="71" spans="10:10" x14ac:dyDescent="0.3">
      <c r="J71"/>
    </row>
    <row r="72" spans="10:10" x14ac:dyDescent="0.3">
      <c r="J72"/>
    </row>
    <row r="73" spans="10:10" x14ac:dyDescent="0.3">
      <c r="J73"/>
    </row>
    <row r="74" spans="10:10" x14ac:dyDescent="0.3">
      <c r="J74"/>
    </row>
    <row r="75" spans="10:10" x14ac:dyDescent="0.3">
      <c r="J75"/>
    </row>
    <row r="76" spans="10:10" x14ac:dyDescent="0.3">
      <c r="J76"/>
    </row>
    <row r="77" spans="10:10" x14ac:dyDescent="0.3">
      <c r="J77"/>
    </row>
    <row r="78" spans="10:10" x14ac:dyDescent="0.3">
      <c r="J78"/>
    </row>
    <row r="79" spans="10:10" x14ac:dyDescent="0.3">
      <c r="J79"/>
    </row>
    <row r="80" spans="10:10" x14ac:dyDescent="0.3">
      <c r="J80"/>
    </row>
    <row r="81" spans="10:10" x14ac:dyDescent="0.3">
      <c r="J81"/>
    </row>
    <row r="82" spans="10:10" x14ac:dyDescent="0.3">
      <c r="J82"/>
    </row>
    <row r="83" spans="10:10" x14ac:dyDescent="0.3">
      <c r="J83"/>
    </row>
    <row r="84" spans="10:10" x14ac:dyDescent="0.3">
      <c r="J84"/>
    </row>
    <row r="85" spans="10:10" x14ac:dyDescent="0.3">
      <c r="J85"/>
    </row>
    <row r="86" spans="10:10" x14ac:dyDescent="0.3">
      <c r="J86"/>
    </row>
    <row r="87" spans="10:10" x14ac:dyDescent="0.3">
      <c r="J87"/>
    </row>
    <row r="88" spans="10:10" x14ac:dyDescent="0.3">
      <c r="J88"/>
    </row>
    <row r="89" spans="10:10" x14ac:dyDescent="0.3">
      <c r="J89"/>
    </row>
    <row r="90" spans="10:10" x14ac:dyDescent="0.3">
      <c r="J90"/>
    </row>
    <row r="91" spans="10:10" x14ac:dyDescent="0.3">
      <c r="J91"/>
    </row>
    <row r="92" spans="10:10" x14ac:dyDescent="0.3">
      <c r="J92"/>
    </row>
    <row r="93" spans="10:10" x14ac:dyDescent="0.3">
      <c r="J93"/>
    </row>
    <row r="94" spans="10:10" x14ac:dyDescent="0.3">
      <c r="J94"/>
    </row>
    <row r="95" spans="10:10" x14ac:dyDescent="0.3">
      <c r="J95"/>
    </row>
    <row r="96" spans="10:10" x14ac:dyDescent="0.3">
      <c r="J96"/>
    </row>
    <row r="97" spans="10:10" x14ac:dyDescent="0.3">
      <c r="J97"/>
    </row>
    <row r="98" spans="10:10" x14ac:dyDescent="0.3">
      <c r="J98"/>
    </row>
    <row r="99" spans="10:10" x14ac:dyDescent="0.3">
      <c r="J99"/>
    </row>
    <row r="100" spans="10:10" x14ac:dyDescent="0.3">
      <c r="J100"/>
    </row>
    <row r="101" spans="10:10" x14ac:dyDescent="0.3">
      <c r="J101"/>
    </row>
    <row r="102" spans="10:10" x14ac:dyDescent="0.3">
      <c r="J102"/>
    </row>
    <row r="103" spans="10:10" x14ac:dyDescent="0.3">
      <c r="J103"/>
    </row>
    <row r="104" spans="10:10" x14ac:dyDescent="0.3">
      <c r="J104"/>
    </row>
    <row r="105" spans="10:10" x14ac:dyDescent="0.3">
      <c r="J105"/>
    </row>
    <row r="106" spans="10:10" x14ac:dyDescent="0.3">
      <c r="J106"/>
    </row>
    <row r="107" spans="10:10" x14ac:dyDescent="0.3">
      <c r="J107"/>
    </row>
    <row r="108" spans="10:10" x14ac:dyDescent="0.3">
      <c r="J108"/>
    </row>
    <row r="109" spans="10:10" x14ac:dyDescent="0.3">
      <c r="J109"/>
    </row>
    <row r="110" spans="10:10" x14ac:dyDescent="0.3">
      <c r="J110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BFAC-FEA7-461F-93BE-5A305D14FC1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6090DA15076E489855A254EC24AF86" ma:contentTypeVersion="5" ma:contentTypeDescription="Crie um novo documento." ma:contentTypeScope="" ma:versionID="d230cca51bffcc3f85fb4af791637637">
  <xsd:schema xmlns:xsd="http://www.w3.org/2001/XMLSchema" xmlns:xs="http://www.w3.org/2001/XMLSchema" xmlns:p="http://schemas.microsoft.com/office/2006/metadata/properties" xmlns:ns3="1c67430e-169e-4a92-a348-8143e2d50ddd" targetNamespace="http://schemas.microsoft.com/office/2006/metadata/properties" ma:root="true" ma:fieldsID="5cc237dde8e8ee4cb321a4323123289d" ns3:_="">
    <xsd:import namespace="1c67430e-169e-4a92-a348-8143e2d50dd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7430e-169e-4a92-a348-8143e2d50dd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67430e-169e-4a92-a348-8143e2d50ddd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9FE514A6-F3AE-43C5-AC14-D86B8CF8CC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67430e-169e-4a92-a348-8143e2d50d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B95F0-FCFA-4D6A-9BC2-922B0955AE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00C6FE-8B83-4089-A650-795886C1A91A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1c67430e-169e-4a92-a348-8143e2d50ddd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70722331-DE7D-4454-8E53-AB822C7EACD7}">
  <ds:schemaRefs/>
</ds:datastoreItem>
</file>

<file path=customXml/itemProps5.xml><?xml version="1.0" encoding="utf-8"?>
<ds:datastoreItem xmlns:ds="http://schemas.openxmlformats.org/officeDocument/2006/customXml" ds:itemID="{BD2D9C43-157D-4C9A-B285-B3C5234BADEC}">
  <ds:schemaRefs/>
</ds:datastoreItem>
</file>

<file path=customXml/itemProps6.xml><?xml version="1.0" encoding="utf-8"?>
<ds:datastoreItem xmlns:ds="http://schemas.openxmlformats.org/officeDocument/2006/customXml" ds:itemID="{E9C2B0B2-EC1B-4191-B5D8-F423904A1AE5}">
  <ds:schemaRefs/>
</ds:datastoreItem>
</file>

<file path=customXml/itemProps7.xml><?xml version="1.0" encoding="utf-8"?>
<ds:datastoreItem xmlns:ds="http://schemas.openxmlformats.org/officeDocument/2006/customXml" ds:itemID="{CB2C5F6C-31CA-4E49-BD90-D3DCDD48399C}">
  <ds:schemaRefs/>
</ds:datastoreItem>
</file>

<file path=customXml/itemProps8.xml><?xml version="1.0" encoding="utf-8"?>
<ds:datastoreItem xmlns:ds="http://schemas.openxmlformats.org/officeDocument/2006/customXml" ds:itemID="{C7E65E7E-D667-4AA7-8042-4F8725DFE4BD}">
  <ds:schemaRefs/>
</ds:datastoreItem>
</file>

<file path=customXml/itemProps9.xml><?xml version="1.0" encoding="utf-8"?>
<ds:datastoreItem xmlns:ds="http://schemas.openxmlformats.org/officeDocument/2006/customXml" ds:itemID="{CE62688F-FA91-4AF4-915A-8DBB1E12D1DD}">
  <ds:schemaRefs/>
</ds:datastoreItem>
</file>

<file path=customXml/itemProps10.xml><?xml version="1.0" encoding="utf-8"?>
<ds:datastoreItem xmlns:ds="http://schemas.openxmlformats.org/officeDocument/2006/customXml" ds:itemID="{3A99F20C-587D-406C-A793-23FF9978B1AD}">
  <ds:schemaRefs/>
</ds:datastoreItem>
</file>

<file path=customXml/itemProps11.xml><?xml version="1.0" encoding="utf-8"?>
<ds:datastoreItem xmlns:ds="http://schemas.openxmlformats.org/officeDocument/2006/customXml" ds:itemID="{1C8EF22E-05D1-4CBB-AE14-2FADD5D52E29}">
  <ds:schemaRefs/>
</ds:datastoreItem>
</file>

<file path=customXml/itemProps12.xml><?xml version="1.0" encoding="utf-8"?>
<ds:datastoreItem xmlns:ds="http://schemas.openxmlformats.org/officeDocument/2006/customXml" ds:itemID="{AC0817CC-A594-4B35-B772-73F5A6595EAD}">
  <ds:schemaRefs/>
</ds:datastoreItem>
</file>

<file path=customXml/itemProps13.xml><?xml version="1.0" encoding="utf-8"?>
<ds:datastoreItem xmlns:ds="http://schemas.openxmlformats.org/officeDocument/2006/customXml" ds:itemID="{7B502384-D828-4CE9-8A1D-941F998C52E2}">
  <ds:schemaRefs/>
</ds:datastoreItem>
</file>

<file path=customXml/itemProps14.xml><?xml version="1.0" encoding="utf-8"?>
<ds:datastoreItem xmlns:ds="http://schemas.openxmlformats.org/officeDocument/2006/customXml" ds:itemID="{6AE46479-EE5C-4D5A-B3F2-759694736C6A}">
  <ds:schemaRefs/>
</ds:datastoreItem>
</file>

<file path=customXml/itemProps15.xml><?xml version="1.0" encoding="utf-8"?>
<ds:datastoreItem xmlns:ds="http://schemas.openxmlformats.org/officeDocument/2006/customXml" ds:itemID="{1FF46A9B-41DC-4783-BDAA-F2E5010A08FD}">
  <ds:schemaRefs/>
</ds:datastoreItem>
</file>

<file path=customXml/itemProps16.xml><?xml version="1.0" encoding="utf-8"?>
<ds:datastoreItem xmlns:ds="http://schemas.openxmlformats.org/officeDocument/2006/customXml" ds:itemID="{2D49469F-CD6B-48B8-A8AF-0A6EDAED7322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15BC9BDD-3767-4956-B179-68BC15A22562}">
  <ds:schemaRefs/>
</ds:datastoreItem>
</file>

<file path=customXml/itemProps18.xml><?xml version="1.0" encoding="utf-8"?>
<ds:datastoreItem xmlns:ds="http://schemas.openxmlformats.org/officeDocument/2006/customXml" ds:itemID="{04F8F252-D25E-46B5-A76D-BE49A8C3F7F9}">
  <ds:schemaRefs/>
</ds:datastoreItem>
</file>

<file path=customXml/itemProps19.xml><?xml version="1.0" encoding="utf-8"?>
<ds:datastoreItem xmlns:ds="http://schemas.openxmlformats.org/officeDocument/2006/customXml" ds:itemID="{907F5847-2D33-4F39-94C2-17C117FDC9BA}">
  <ds:schemaRefs/>
</ds:datastoreItem>
</file>

<file path=customXml/itemProps20.xml><?xml version="1.0" encoding="utf-8"?>
<ds:datastoreItem xmlns:ds="http://schemas.openxmlformats.org/officeDocument/2006/customXml" ds:itemID="{86249ED0-D547-46C9-912D-BAE25121C2D3}">
  <ds:schemaRefs/>
</ds:datastoreItem>
</file>

<file path=customXml/itemProps21.xml><?xml version="1.0" encoding="utf-8"?>
<ds:datastoreItem xmlns:ds="http://schemas.openxmlformats.org/officeDocument/2006/customXml" ds:itemID="{1B2FBA9A-B82C-4DC2-B036-54D144A245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0.Diagramas</vt:lpstr>
      <vt:lpstr>1.Dashboard</vt:lpstr>
      <vt:lpstr>2.Cálculos Auxiliares</vt:lpstr>
      <vt:lpstr>3.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Avila da Silva</dc:creator>
  <cp:lastModifiedBy>Luis Gustavo Avila da Silva</cp:lastModifiedBy>
  <dcterms:created xsi:type="dcterms:W3CDTF">2026-10-24T20:39:36Z</dcterms:created>
  <dcterms:modified xsi:type="dcterms:W3CDTF">2026-10-25T01:53:44Z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0x010100F76090DA15076E489855A254EC24AF86</vt:lpwstr>
  </property>
</Properties>
</file>